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be17df6356a6b02/DIRESA/Proyectos/Inventario TIC/"/>
    </mc:Choice>
  </mc:AlternateContent>
  <xr:revisionPtr revIDLastSave="0" documentId="11_A46F47EDE3B6DB5DF701DC78BC33CAFBA38BAB9B" xr6:coauthVersionLast="47" xr6:coauthVersionMax="47" xr10:uidLastSave="{00000000-0000-0000-0000-000000000000}"/>
  <bookViews>
    <workbookView xWindow="-120" yWindow="-120" windowWidth="29040" windowHeight="15720" tabRatio="500" firstSheet="4" activeTab="8" xr2:uid="{00000000-000D-0000-FFFF-FFFF00000000}"/>
  </bookViews>
  <sheets>
    <sheet name="Instrucciones" sheetId="1" r:id="rId1"/>
    <sheet name="Resumen" sheetId="2" r:id="rId2"/>
    <sheet name="Inventario General" sheetId="3" r:id="rId3"/>
    <sheet name="Ficha Individual" sheetId="4" r:id="rId4"/>
    <sheet name="Equipos de Cómputo" sheetId="5" r:id="rId5"/>
    <sheet name="Servidores" sheetId="6" r:id="rId6"/>
    <sheet name="Red y Comunicaciones" sheetId="7" r:id="rId7"/>
    <sheet name="Periféricos" sheetId="8" r:id="rId8"/>
    <sheet name="Software y Licencias" sheetId="9" r:id="rId9"/>
    <sheet name="Mantenimiento" sheetId="10" r:id="rId10"/>
    <sheet name="Asignaciones" sheetId="11" r:id="rId11"/>
    <sheet name="Listas" sheetId="12" r:id="rId12"/>
  </sheets>
  <definedNames>
    <definedName name="_xlnm._FilterDatabase" localSheetId="10" hidden="1">Asignaciones!$A$4:$K$204</definedName>
    <definedName name="_xlnm._FilterDatabase" localSheetId="4" hidden="1">'Equipos de Cómputo'!$A$4:$Y$204</definedName>
    <definedName name="_xlnm._FilterDatabase" localSheetId="2" hidden="1">'Inventario General'!$A$4:$X$304</definedName>
    <definedName name="_xlnm._FilterDatabase" localSheetId="9" hidden="1">Mantenimiento!$A$4:$O$204</definedName>
    <definedName name="_xlnm._FilterDatabase" localSheetId="7" hidden="1">Periféricos!$A$4:$L$204</definedName>
    <definedName name="_xlnm._FilterDatabase" localSheetId="6" hidden="1">'Red y Comunicaciones'!$A$4:$S$204</definedName>
    <definedName name="_xlnm._FilterDatabase" localSheetId="5" hidden="1">Servidores!$A$4:$X$204</definedName>
    <definedName name="_xlnm._FilterDatabase" localSheetId="8" hidden="1">'Software y Licencias'!$A$4:$Q$204</definedName>
    <definedName name="_xlnm.Print_Titles" localSheetId="10">Asignaciones!$4:$4</definedName>
    <definedName name="_xlnm.Print_Titles" localSheetId="4">'Equipos de Cómputo'!$4:$4</definedName>
    <definedName name="_xlnm.Print_Titles" localSheetId="2">'Inventario General'!$4:$4</definedName>
    <definedName name="_xlnm.Print_Titles" localSheetId="9">Mantenimiento!$4:$4</definedName>
    <definedName name="_xlnm.Print_Titles" localSheetId="7">Periféricos!$4:$4</definedName>
    <definedName name="_xlnm.Print_Titles" localSheetId="6">'Red y Comunicaciones'!$4:$4</definedName>
    <definedName name="_xlnm.Print_Titles" localSheetId="5">Servidores!$4:$4</definedName>
    <definedName name="_xlnm.Print_Titles" localSheetId="8">'Software y Licencias'!$4:$4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4" i="11" l="1"/>
  <c r="B204" i="11"/>
  <c r="J203" i="11"/>
  <c r="B203" i="11"/>
  <c r="J202" i="11"/>
  <c r="B202" i="11"/>
  <c r="J201" i="11"/>
  <c r="B201" i="11"/>
  <c r="J200" i="11"/>
  <c r="B200" i="11"/>
  <c r="J199" i="11"/>
  <c r="B199" i="11"/>
  <c r="J198" i="11"/>
  <c r="B198" i="11"/>
  <c r="J197" i="11"/>
  <c r="B197" i="11"/>
  <c r="J196" i="11"/>
  <c r="B196" i="11"/>
  <c r="J195" i="11"/>
  <c r="B195" i="11"/>
  <c r="J194" i="11"/>
  <c r="B194" i="11"/>
  <c r="J193" i="11"/>
  <c r="B193" i="11"/>
  <c r="J192" i="11"/>
  <c r="B192" i="11"/>
  <c r="J191" i="11"/>
  <c r="B191" i="11"/>
  <c r="J190" i="11"/>
  <c r="B190" i="11"/>
  <c r="J189" i="11"/>
  <c r="B189" i="11"/>
  <c r="J188" i="11"/>
  <c r="B188" i="11"/>
  <c r="J187" i="11"/>
  <c r="B187" i="11"/>
  <c r="J186" i="11"/>
  <c r="B186" i="11"/>
  <c r="J185" i="11"/>
  <c r="B185" i="11"/>
  <c r="J184" i="11"/>
  <c r="B184" i="11"/>
  <c r="J183" i="11"/>
  <c r="B183" i="11"/>
  <c r="J182" i="11"/>
  <c r="B182" i="11"/>
  <c r="J181" i="11"/>
  <c r="B181" i="11"/>
  <c r="J180" i="11"/>
  <c r="B180" i="11"/>
  <c r="J179" i="11"/>
  <c r="B179" i="11"/>
  <c r="J178" i="11"/>
  <c r="B178" i="11"/>
  <c r="J177" i="11"/>
  <c r="B177" i="11"/>
  <c r="J176" i="11"/>
  <c r="B176" i="11"/>
  <c r="J175" i="11"/>
  <c r="B175" i="11"/>
  <c r="J174" i="11"/>
  <c r="B174" i="11"/>
  <c r="J173" i="11"/>
  <c r="B173" i="11"/>
  <c r="J172" i="11"/>
  <c r="B172" i="11"/>
  <c r="J171" i="11"/>
  <c r="B171" i="11"/>
  <c r="J170" i="11"/>
  <c r="B170" i="11"/>
  <c r="J169" i="11"/>
  <c r="B169" i="11"/>
  <c r="J168" i="11"/>
  <c r="B168" i="11"/>
  <c r="J167" i="11"/>
  <c r="B167" i="11"/>
  <c r="J166" i="11"/>
  <c r="B166" i="11"/>
  <c r="J165" i="11"/>
  <c r="B165" i="11"/>
  <c r="J164" i="11"/>
  <c r="B164" i="11"/>
  <c r="J163" i="11"/>
  <c r="B163" i="11"/>
  <c r="J162" i="11"/>
  <c r="B162" i="11"/>
  <c r="J161" i="11"/>
  <c r="B161" i="11"/>
  <c r="J160" i="11"/>
  <c r="B160" i="11"/>
  <c r="J159" i="11"/>
  <c r="B159" i="11"/>
  <c r="J158" i="11"/>
  <c r="B158" i="11"/>
  <c r="J157" i="11"/>
  <c r="B157" i="11"/>
  <c r="J156" i="11"/>
  <c r="B156" i="11"/>
  <c r="J155" i="11"/>
  <c r="B155" i="11"/>
  <c r="J154" i="11"/>
  <c r="B154" i="11"/>
  <c r="J153" i="11"/>
  <c r="B153" i="11"/>
  <c r="J152" i="11"/>
  <c r="B152" i="11"/>
  <c r="J151" i="11"/>
  <c r="B151" i="11"/>
  <c r="J150" i="11"/>
  <c r="B150" i="11"/>
  <c r="J149" i="11"/>
  <c r="B149" i="11"/>
  <c r="J148" i="11"/>
  <c r="B148" i="11"/>
  <c r="J147" i="11"/>
  <c r="B147" i="11"/>
  <c r="J146" i="11"/>
  <c r="B146" i="11"/>
  <c r="J145" i="11"/>
  <c r="B145" i="11"/>
  <c r="J144" i="11"/>
  <c r="B144" i="11"/>
  <c r="J143" i="11"/>
  <c r="B143" i="11"/>
  <c r="J142" i="11"/>
  <c r="B142" i="11"/>
  <c r="J141" i="11"/>
  <c r="B141" i="11"/>
  <c r="J140" i="11"/>
  <c r="B140" i="11"/>
  <c r="J139" i="11"/>
  <c r="B139" i="11"/>
  <c r="J138" i="11"/>
  <c r="B138" i="11"/>
  <c r="J137" i="11"/>
  <c r="B137" i="11"/>
  <c r="J136" i="11"/>
  <c r="B136" i="11"/>
  <c r="J135" i="11"/>
  <c r="B135" i="11"/>
  <c r="J134" i="11"/>
  <c r="B134" i="11"/>
  <c r="J133" i="11"/>
  <c r="B133" i="11"/>
  <c r="J132" i="11"/>
  <c r="B132" i="11"/>
  <c r="J131" i="11"/>
  <c r="B131" i="11"/>
  <c r="J130" i="11"/>
  <c r="B130" i="11"/>
  <c r="J129" i="11"/>
  <c r="B129" i="11"/>
  <c r="J128" i="11"/>
  <c r="B128" i="11"/>
  <c r="J127" i="11"/>
  <c r="B127" i="11"/>
  <c r="J126" i="11"/>
  <c r="B126" i="11"/>
  <c r="J125" i="11"/>
  <c r="B125" i="11"/>
  <c r="J124" i="11"/>
  <c r="B124" i="11"/>
  <c r="J123" i="11"/>
  <c r="B123" i="11"/>
  <c r="J122" i="11"/>
  <c r="B122" i="11"/>
  <c r="J121" i="11"/>
  <c r="B121" i="11"/>
  <c r="J120" i="11"/>
  <c r="B120" i="11"/>
  <c r="J119" i="11"/>
  <c r="B119" i="11"/>
  <c r="J118" i="11"/>
  <c r="B118" i="11"/>
  <c r="J117" i="11"/>
  <c r="B117" i="11"/>
  <c r="J116" i="11"/>
  <c r="B116" i="11"/>
  <c r="J115" i="11"/>
  <c r="B115" i="11"/>
  <c r="J114" i="11"/>
  <c r="B114" i="11"/>
  <c r="J113" i="11"/>
  <c r="B113" i="11"/>
  <c r="J112" i="11"/>
  <c r="B112" i="11"/>
  <c r="J111" i="11"/>
  <c r="B111" i="11"/>
  <c r="J110" i="11"/>
  <c r="B110" i="11"/>
  <c r="J109" i="11"/>
  <c r="B109" i="11"/>
  <c r="J108" i="11"/>
  <c r="B108" i="11"/>
  <c r="J107" i="11"/>
  <c r="B107" i="11"/>
  <c r="J106" i="11"/>
  <c r="B106" i="11"/>
  <c r="J105" i="11"/>
  <c r="B105" i="11"/>
  <c r="J104" i="11"/>
  <c r="B104" i="11"/>
  <c r="J103" i="11"/>
  <c r="B103" i="11"/>
  <c r="J102" i="11"/>
  <c r="B102" i="11"/>
  <c r="J101" i="11"/>
  <c r="B101" i="11"/>
  <c r="J100" i="11"/>
  <c r="B100" i="11"/>
  <c r="J99" i="11"/>
  <c r="B99" i="11"/>
  <c r="J98" i="11"/>
  <c r="B98" i="11"/>
  <c r="J97" i="11"/>
  <c r="B97" i="11"/>
  <c r="J96" i="11"/>
  <c r="B96" i="11"/>
  <c r="J95" i="11"/>
  <c r="B95" i="11"/>
  <c r="J94" i="11"/>
  <c r="B94" i="11"/>
  <c r="J93" i="11"/>
  <c r="B93" i="11"/>
  <c r="J92" i="11"/>
  <c r="B92" i="11"/>
  <c r="J91" i="11"/>
  <c r="B91" i="11"/>
  <c r="J90" i="11"/>
  <c r="B90" i="11"/>
  <c r="J89" i="11"/>
  <c r="B89" i="11"/>
  <c r="J88" i="11"/>
  <c r="B88" i="11"/>
  <c r="J87" i="11"/>
  <c r="B87" i="11"/>
  <c r="J86" i="11"/>
  <c r="B86" i="11"/>
  <c r="J85" i="11"/>
  <c r="B85" i="11"/>
  <c r="J84" i="11"/>
  <c r="B84" i="11"/>
  <c r="J83" i="11"/>
  <c r="B83" i="11"/>
  <c r="J82" i="11"/>
  <c r="B82" i="11"/>
  <c r="J81" i="11"/>
  <c r="B81" i="11"/>
  <c r="J80" i="11"/>
  <c r="B80" i="11"/>
  <c r="J79" i="11"/>
  <c r="B79" i="11"/>
  <c r="J78" i="11"/>
  <c r="B78" i="11"/>
  <c r="J77" i="11"/>
  <c r="B77" i="11"/>
  <c r="J76" i="11"/>
  <c r="B76" i="11"/>
  <c r="J75" i="11"/>
  <c r="B75" i="11"/>
  <c r="J74" i="11"/>
  <c r="B74" i="11"/>
  <c r="J73" i="11"/>
  <c r="B73" i="11"/>
  <c r="J72" i="11"/>
  <c r="B72" i="11"/>
  <c r="J71" i="11"/>
  <c r="B71" i="11"/>
  <c r="J70" i="11"/>
  <c r="B70" i="11"/>
  <c r="J69" i="11"/>
  <c r="B69" i="11"/>
  <c r="J68" i="11"/>
  <c r="B68" i="11"/>
  <c r="J67" i="11"/>
  <c r="B67" i="11"/>
  <c r="J66" i="11"/>
  <c r="B66" i="11"/>
  <c r="J65" i="11"/>
  <c r="B65" i="11"/>
  <c r="J64" i="11"/>
  <c r="B64" i="11"/>
  <c r="J63" i="11"/>
  <c r="B63" i="11"/>
  <c r="J62" i="11"/>
  <c r="B62" i="11"/>
  <c r="J61" i="11"/>
  <c r="B61" i="11"/>
  <c r="J60" i="11"/>
  <c r="B60" i="11"/>
  <c r="J59" i="11"/>
  <c r="B59" i="11"/>
  <c r="J58" i="11"/>
  <c r="B58" i="11"/>
  <c r="J57" i="11"/>
  <c r="B57" i="11"/>
  <c r="J56" i="11"/>
  <c r="B56" i="11"/>
  <c r="J55" i="11"/>
  <c r="B55" i="11"/>
  <c r="J54" i="11"/>
  <c r="B54" i="11"/>
  <c r="J53" i="11"/>
  <c r="B53" i="11"/>
  <c r="J52" i="11"/>
  <c r="B52" i="11"/>
  <c r="J51" i="11"/>
  <c r="B51" i="11"/>
  <c r="J50" i="11"/>
  <c r="B50" i="11"/>
  <c r="J49" i="11"/>
  <c r="B49" i="11"/>
  <c r="J48" i="11"/>
  <c r="B48" i="11"/>
  <c r="J47" i="11"/>
  <c r="B47" i="11"/>
  <c r="J46" i="11"/>
  <c r="B46" i="11"/>
  <c r="J45" i="11"/>
  <c r="B45" i="11"/>
  <c r="J44" i="11"/>
  <c r="B44" i="11"/>
  <c r="J43" i="11"/>
  <c r="B43" i="11"/>
  <c r="J42" i="11"/>
  <c r="B42" i="11"/>
  <c r="J41" i="11"/>
  <c r="B41" i="11"/>
  <c r="J40" i="11"/>
  <c r="B40" i="11"/>
  <c r="J39" i="11"/>
  <c r="B39" i="11"/>
  <c r="J38" i="11"/>
  <c r="B38" i="11"/>
  <c r="J37" i="11"/>
  <c r="B37" i="11"/>
  <c r="J36" i="11"/>
  <c r="B36" i="11"/>
  <c r="J35" i="11"/>
  <c r="B35" i="11"/>
  <c r="J34" i="11"/>
  <c r="B34" i="11"/>
  <c r="J33" i="11"/>
  <c r="B33" i="11"/>
  <c r="J32" i="11"/>
  <c r="B32" i="11"/>
  <c r="J31" i="11"/>
  <c r="B31" i="11"/>
  <c r="J30" i="11"/>
  <c r="B30" i="11"/>
  <c r="J29" i="11"/>
  <c r="B29" i="11"/>
  <c r="J28" i="11"/>
  <c r="B28" i="11"/>
  <c r="J27" i="11"/>
  <c r="B27" i="11"/>
  <c r="J26" i="11"/>
  <c r="B26" i="11"/>
  <c r="J25" i="11"/>
  <c r="B25" i="11"/>
  <c r="J24" i="11"/>
  <c r="B24" i="11"/>
  <c r="J23" i="11"/>
  <c r="B23" i="11"/>
  <c r="J22" i="11"/>
  <c r="B22" i="11"/>
  <c r="J21" i="11"/>
  <c r="B21" i="11"/>
  <c r="J20" i="11"/>
  <c r="B20" i="11"/>
  <c r="J19" i="11"/>
  <c r="B19" i="11"/>
  <c r="J18" i="11"/>
  <c r="B18" i="11"/>
  <c r="J17" i="11"/>
  <c r="B17" i="11"/>
  <c r="J16" i="11"/>
  <c r="B16" i="11"/>
  <c r="J15" i="11"/>
  <c r="B15" i="11"/>
  <c r="J14" i="11"/>
  <c r="B14" i="11"/>
  <c r="J13" i="11"/>
  <c r="B13" i="11"/>
  <c r="J12" i="11"/>
  <c r="B12" i="11"/>
  <c r="J11" i="11"/>
  <c r="B11" i="11"/>
  <c r="J10" i="11"/>
  <c r="B10" i="11"/>
  <c r="J9" i="11"/>
  <c r="B9" i="11"/>
  <c r="J8" i="11"/>
  <c r="B8" i="11"/>
  <c r="J7" i="11"/>
  <c r="B7" i="11"/>
  <c r="J6" i="11"/>
  <c r="B6" i="11"/>
  <c r="J5" i="11"/>
  <c r="B5" i="11"/>
  <c r="N204" i="10"/>
  <c r="D204" i="10"/>
  <c r="C204" i="10"/>
  <c r="N203" i="10"/>
  <c r="D203" i="10"/>
  <c r="C203" i="10"/>
  <c r="N202" i="10"/>
  <c r="D202" i="10"/>
  <c r="C202" i="10"/>
  <c r="N201" i="10"/>
  <c r="D201" i="10"/>
  <c r="C201" i="10"/>
  <c r="N200" i="10"/>
  <c r="D200" i="10"/>
  <c r="C200" i="10"/>
  <c r="N199" i="10"/>
  <c r="D199" i="10"/>
  <c r="C199" i="10"/>
  <c r="N198" i="10"/>
  <c r="D198" i="10"/>
  <c r="C198" i="10"/>
  <c r="N197" i="10"/>
  <c r="D197" i="10"/>
  <c r="C197" i="10"/>
  <c r="N196" i="10"/>
  <c r="D196" i="10"/>
  <c r="C196" i="10"/>
  <c r="N195" i="10"/>
  <c r="D195" i="10"/>
  <c r="C195" i="10"/>
  <c r="N194" i="10"/>
  <c r="D194" i="10"/>
  <c r="C194" i="10"/>
  <c r="N193" i="10"/>
  <c r="D193" i="10"/>
  <c r="C193" i="10"/>
  <c r="N192" i="10"/>
  <c r="D192" i="10"/>
  <c r="C192" i="10"/>
  <c r="N191" i="10"/>
  <c r="D191" i="10"/>
  <c r="C191" i="10"/>
  <c r="N190" i="10"/>
  <c r="D190" i="10"/>
  <c r="C190" i="10"/>
  <c r="N189" i="10"/>
  <c r="D189" i="10"/>
  <c r="C189" i="10"/>
  <c r="N188" i="10"/>
  <c r="D188" i="10"/>
  <c r="C188" i="10"/>
  <c r="N187" i="10"/>
  <c r="D187" i="10"/>
  <c r="C187" i="10"/>
  <c r="N186" i="10"/>
  <c r="D186" i="10"/>
  <c r="C186" i="10"/>
  <c r="N185" i="10"/>
  <c r="D185" i="10"/>
  <c r="C185" i="10"/>
  <c r="N184" i="10"/>
  <c r="D184" i="10"/>
  <c r="C184" i="10"/>
  <c r="N183" i="10"/>
  <c r="D183" i="10"/>
  <c r="C183" i="10"/>
  <c r="N182" i="10"/>
  <c r="D182" i="10"/>
  <c r="C182" i="10"/>
  <c r="N181" i="10"/>
  <c r="D181" i="10"/>
  <c r="C181" i="10"/>
  <c r="N180" i="10"/>
  <c r="D180" i="10"/>
  <c r="C180" i="10"/>
  <c r="N179" i="10"/>
  <c r="D179" i="10"/>
  <c r="C179" i="10"/>
  <c r="N178" i="10"/>
  <c r="D178" i="10"/>
  <c r="C178" i="10"/>
  <c r="N177" i="10"/>
  <c r="D177" i="10"/>
  <c r="C177" i="10"/>
  <c r="N176" i="10"/>
  <c r="D176" i="10"/>
  <c r="C176" i="10"/>
  <c r="N175" i="10"/>
  <c r="D175" i="10"/>
  <c r="C175" i="10"/>
  <c r="N174" i="10"/>
  <c r="D174" i="10"/>
  <c r="C174" i="10"/>
  <c r="N173" i="10"/>
  <c r="D173" i="10"/>
  <c r="C173" i="10"/>
  <c r="N172" i="10"/>
  <c r="D172" i="10"/>
  <c r="C172" i="10"/>
  <c r="N171" i="10"/>
  <c r="D171" i="10"/>
  <c r="C171" i="10"/>
  <c r="N170" i="10"/>
  <c r="D170" i="10"/>
  <c r="C170" i="10"/>
  <c r="N169" i="10"/>
  <c r="D169" i="10"/>
  <c r="C169" i="10"/>
  <c r="N168" i="10"/>
  <c r="D168" i="10"/>
  <c r="C168" i="10"/>
  <c r="N167" i="10"/>
  <c r="D167" i="10"/>
  <c r="C167" i="10"/>
  <c r="N166" i="10"/>
  <c r="D166" i="10"/>
  <c r="C166" i="10"/>
  <c r="N165" i="10"/>
  <c r="D165" i="10"/>
  <c r="C165" i="10"/>
  <c r="N164" i="10"/>
  <c r="D164" i="10"/>
  <c r="C164" i="10"/>
  <c r="N163" i="10"/>
  <c r="D163" i="10"/>
  <c r="C163" i="10"/>
  <c r="N162" i="10"/>
  <c r="D162" i="10"/>
  <c r="C162" i="10"/>
  <c r="N161" i="10"/>
  <c r="D161" i="10"/>
  <c r="C161" i="10"/>
  <c r="N160" i="10"/>
  <c r="D160" i="10"/>
  <c r="C160" i="10"/>
  <c r="N159" i="10"/>
  <c r="D159" i="10"/>
  <c r="C159" i="10"/>
  <c r="N158" i="10"/>
  <c r="D158" i="10"/>
  <c r="C158" i="10"/>
  <c r="N157" i="10"/>
  <c r="D157" i="10"/>
  <c r="C157" i="10"/>
  <c r="N156" i="10"/>
  <c r="D156" i="10"/>
  <c r="C156" i="10"/>
  <c r="N155" i="10"/>
  <c r="D155" i="10"/>
  <c r="C155" i="10"/>
  <c r="N154" i="10"/>
  <c r="D154" i="10"/>
  <c r="C154" i="10"/>
  <c r="N153" i="10"/>
  <c r="D153" i="10"/>
  <c r="C153" i="10"/>
  <c r="N152" i="10"/>
  <c r="D152" i="10"/>
  <c r="C152" i="10"/>
  <c r="N151" i="10"/>
  <c r="D151" i="10"/>
  <c r="C151" i="10"/>
  <c r="N150" i="10"/>
  <c r="D150" i="10"/>
  <c r="C150" i="10"/>
  <c r="N149" i="10"/>
  <c r="D149" i="10"/>
  <c r="C149" i="10"/>
  <c r="N148" i="10"/>
  <c r="D148" i="10"/>
  <c r="C148" i="10"/>
  <c r="N147" i="10"/>
  <c r="D147" i="10"/>
  <c r="C147" i="10"/>
  <c r="N146" i="10"/>
  <c r="D146" i="10"/>
  <c r="C146" i="10"/>
  <c r="N145" i="10"/>
  <c r="D145" i="10"/>
  <c r="C145" i="10"/>
  <c r="N144" i="10"/>
  <c r="D144" i="10"/>
  <c r="C144" i="10"/>
  <c r="N143" i="10"/>
  <c r="D143" i="10"/>
  <c r="C143" i="10"/>
  <c r="N142" i="10"/>
  <c r="D142" i="10"/>
  <c r="C142" i="10"/>
  <c r="N141" i="10"/>
  <c r="D141" i="10"/>
  <c r="C141" i="10"/>
  <c r="N140" i="10"/>
  <c r="D140" i="10"/>
  <c r="C140" i="10"/>
  <c r="N139" i="10"/>
  <c r="D139" i="10"/>
  <c r="C139" i="10"/>
  <c r="N138" i="10"/>
  <c r="D138" i="10"/>
  <c r="C138" i="10"/>
  <c r="N137" i="10"/>
  <c r="D137" i="10"/>
  <c r="C137" i="10"/>
  <c r="N136" i="10"/>
  <c r="D136" i="10"/>
  <c r="C136" i="10"/>
  <c r="N135" i="10"/>
  <c r="D135" i="10"/>
  <c r="C135" i="10"/>
  <c r="N134" i="10"/>
  <c r="D134" i="10"/>
  <c r="C134" i="10"/>
  <c r="N133" i="10"/>
  <c r="D133" i="10"/>
  <c r="C133" i="10"/>
  <c r="N132" i="10"/>
  <c r="D132" i="10"/>
  <c r="C132" i="10"/>
  <c r="N131" i="10"/>
  <c r="D131" i="10"/>
  <c r="C131" i="10"/>
  <c r="N130" i="10"/>
  <c r="D130" i="10"/>
  <c r="C130" i="10"/>
  <c r="N129" i="10"/>
  <c r="D129" i="10"/>
  <c r="C129" i="10"/>
  <c r="N128" i="10"/>
  <c r="D128" i="10"/>
  <c r="C128" i="10"/>
  <c r="N127" i="10"/>
  <c r="D127" i="10"/>
  <c r="C127" i="10"/>
  <c r="N126" i="10"/>
  <c r="D126" i="10"/>
  <c r="C126" i="10"/>
  <c r="N125" i="10"/>
  <c r="D125" i="10"/>
  <c r="C125" i="10"/>
  <c r="N124" i="10"/>
  <c r="D124" i="10"/>
  <c r="C124" i="10"/>
  <c r="N123" i="10"/>
  <c r="D123" i="10"/>
  <c r="C123" i="10"/>
  <c r="N122" i="10"/>
  <c r="D122" i="10"/>
  <c r="C122" i="10"/>
  <c r="N121" i="10"/>
  <c r="D121" i="10"/>
  <c r="C121" i="10"/>
  <c r="N120" i="10"/>
  <c r="D120" i="10"/>
  <c r="C120" i="10"/>
  <c r="N119" i="10"/>
  <c r="D119" i="10"/>
  <c r="C119" i="10"/>
  <c r="N118" i="10"/>
  <c r="D118" i="10"/>
  <c r="C118" i="10"/>
  <c r="N117" i="10"/>
  <c r="D117" i="10"/>
  <c r="C117" i="10"/>
  <c r="N116" i="10"/>
  <c r="D116" i="10"/>
  <c r="C116" i="10"/>
  <c r="N115" i="10"/>
  <c r="D115" i="10"/>
  <c r="C115" i="10"/>
  <c r="N114" i="10"/>
  <c r="D114" i="10"/>
  <c r="C114" i="10"/>
  <c r="N113" i="10"/>
  <c r="D113" i="10"/>
  <c r="C113" i="10"/>
  <c r="N112" i="10"/>
  <c r="D112" i="10"/>
  <c r="C112" i="10"/>
  <c r="N111" i="10"/>
  <c r="D111" i="10"/>
  <c r="C111" i="10"/>
  <c r="N110" i="10"/>
  <c r="D110" i="10"/>
  <c r="C110" i="10"/>
  <c r="N109" i="10"/>
  <c r="D109" i="10"/>
  <c r="C109" i="10"/>
  <c r="N108" i="10"/>
  <c r="D108" i="10"/>
  <c r="C108" i="10"/>
  <c r="N107" i="10"/>
  <c r="D107" i="10"/>
  <c r="C107" i="10"/>
  <c r="N106" i="10"/>
  <c r="D106" i="10"/>
  <c r="C106" i="10"/>
  <c r="N105" i="10"/>
  <c r="D105" i="10"/>
  <c r="C105" i="10"/>
  <c r="N104" i="10"/>
  <c r="D104" i="10"/>
  <c r="C104" i="10"/>
  <c r="N103" i="10"/>
  <c r="D103" i="10"/>
  <c r="C103" i="10"/>
  <c r="N102" i="10"/>
  <c r="D102" i="10"/>
  <c r="C102" i="10"/>
  <c r="N101" i="10"/>
  <c r="D101" i="10"/>
  <c r="C101" i="10"/>
  <c r="N100" i="10"/>
  <c r="D100" i="10"/>
  <c r="C100" i="10"/>
  <c r="N99" i="10"/>
  <c r="D99" i="10"/>
  <c r="C99" i="10"/>
  <c r="N98" i="10"/>
  <c r="D98" i="10"/>
  <c r="C98" i="10"/>
  <c r="N97" i="10"/>
  <c r="D97" i="10"/>
  <c r="C97" i="10"/>
  <c r="N96" i="10"/>
  <c r="D96" i="10"/>
  <c r="C96" i="10"/>
  <c r="N95" i="10"/>
  <c r="D95" i="10"/>
  <c r="C95" i="10"/>
  <c r="N94" i="10"/>
  <c r="D94" i="10"/>
  <c r="C94" i="10"/>
  <c r="N93" i="10"/>
  <c r="D93" i="10"/>
  <c r="C93" i="10"/>
  <c r="N92" i="10"/>
  <c r="D92" i="10"/>
  <c r="C92" i="10"/>
  <c r="N91" i="10"/>
  <c r="D91" i="10"/>
  <c r="C91" i="10"/>
  <c r="N90" i="10"/>
  <c r="D90" i="10"/>
  <c r="C90" i="10"/>
  <c r="N89" i="10"/>
  <c r="D89" i="10"/>
  <c r="C89" i="10"/>
  <c r="N88" i="10"/>
  <c r="D88" i="10"/>
  <c r="C88" i="10"/>
  <c r="N87" i="10"/>
  <c r="D87" i="10"/>
  <c r="C87" i="10"/>
  <c r="N86" i="10"/>
  <c r="D86" i="10"/>
  <c r="C86" i="10"/>
  <c r="N85" i="10"/>
  <c r="D85" i="10"/>
  <c r="C85" i="10"/>
  <c r="N84" i="10"/>
  <c r="D84" i="10"/>
  <c r="C84" i="10"/>
  <c r="N83" i="10"/>
  <c r="D83" i="10"/>
  <c r="C83" i="10"/>
  <c r="N82" i="10"/>
  <c r="D82" i="10"/>
  <c r="C82" i="10"/>
  <c r="N81" i="10"/>
  <c r="D81" i="10"/>
  <c r="C81" i="10"/>
  <c r="N80" i="10"/>
  <c r="D80" i="10"/>
  <c r="C80" i="10"/>
  <c r="N79" i="10"/>
  <c r="D79" i="10"/>
  <c r="C79" i="10"/>
  <c r="N78" i="10"/>
  <c r="D78" i="10"/>
  <c r="C78" i="10"/>
  <c r="N77" i="10"/>
  <c r="D77" i="10"/>
  <c r="C77" i="10"/>
  <c r="N76" i="10"/>
  <c r="D76" i="10"/>
  <c r="C76" i="10"/>
  <c r="N75" i="10"/>
  <c r="D75" i="10"/>
  <c r="C75" i="10"/>
  <c r="N74" i="10"/>
  <c r="D74" i="10"/>
  <c r="C74" i="10"/>
  <c r="N73" i="10"/>
  <c r="D73" i="10"/>
  <c r="C73" i="10"/>
  <c r="N72" i="10"/>
  <c r="D72" i="10"/>
  <c r="C72" i="10"/>
  <c r="N71" i="10"/>
  <c r="D71" i="10"/>
  <c r="C71" i="10"/>
  <c r="N70" i="10"/>
  <c r="D70" i="10"/>
  <c r="C70" i="10"/>
  <c r="N69" i="10"/>
  <c r="D69" i="10"/>
  <c r="C69" i="10"/>
  <c r="N68" i="10"/>
  <c r="D68" i="10"/>
  <c r="C68" i="10"/>
  <c r="N67" i="10"/>
  <c r="D67" i="10"/>
  <c r="C67" i="10"/>
  <c r="N66" i="10"/>
  <c r="D66" i="10"/>
  <c r="C66" i="10"/>
  <c r="N65" i="10"/>
  <c r="D65" i="10"/>
  <c r="C65" i="10"/>
  <c r="N64" i="10"/>
  <c r="D64" i="10"/>
  <c r="C64" i="10"/>
  <c r="N63" i="10"/>
  <c r="D63" i="10"/>
  <c r="C63" i="10"/>
  <c r="N62" i="10"/>
  <c r="D62" i="10"/>
  <c r="C62" i="10"/>
  <c r="N61" i="10"/>
  <c r="D61" i="10"/>
  <c r="C61" i="10"/>
  <c r="N60" i="10"/>
  <c r="D60" i="10"/>
  <c r="C60" i="10"/>
  <c r="N59" i="10"/>
  <c r="D59" i="10"/>
  <c r="C59" i="10"/>
  <c r="N58" i="10"/>
  <c r="D58" i="10"/>
  <c r="C58" i="10"/>
  <c r="N57" i="10"/>
  <c r="D57" i="10"/>
  <c r="C57" i="10"/>
  <c r="N56" i="10"/>
  <c r="D56" i="10"/>
  <c r="C56" i="10"/>
  <c r="N55" i="10"/>
  <c r="D55" i="10"/>
  <c r="C55" i="10"/>
  <c r="N54" i="10"/>
  <c r="D54" i="10"/>
  <c r="C54" i="10"/>
  <c r="N53" i="10"/>
  <c r="D53" i="10"/>
  <c r="C53" i="10"/>
  <c r="N52" i="10"/>
  <c r="D52" i="10"/>
  <c r="C52" i="10"/>
  <c r="N51" i="10"/>
  <c r="D51" i="10"/>
  <c r="C51" i="10"/>
  <c r="N50" i="10"/>
  <c r="D50" i="10"/>
  <c r="C50" i="10"/>
  <c r="N49" i="10"/>
  <c r="D49" i="10"/>
  <c r="C49" i="10"/>
  <c r="N48" i="10"/>
  <c r="D48" i="10"/>
  <c r="C48" i="10"/>
  <c r="N47" i="10"/>
  <c r="D47" i="10"/>
  <c r="C47" i="10"/>
  <c r="N46" i="10"/>
  <c r="D46" i="10"/>
  <c r="C46" i="10"/>
  <c r="N45" i="10"/>
  <c r="D45" i="10"/>
  <c r="C45" i="10"/>
  <c r="N44" i="10"/>
  <c r="D44" i="10"/>
  <c r="C44" i="10"/>
  <c r="N43" i="10"/>
  <c r="D43" i="10"/>
  <c r="C43" i="10"/>
  <c r="N42" i="10"/>
  <c r="D42" i="10"/>
  <c r="C42" i="10"/>
  <c r="N41" i="10"/>
  <c r="D41" i="10"/>
  <c r="C41" i="10"/>
  <c r="N40" i="10"/>
  <c r="D40" i="10"/>
  <c r="C40" i="10"/>
  <c r="N39" i="10"/>
  <c r="D39" i="10"/>
  <c r="C39" i="10"/>
  <c r="N38" i="10"/>
  <c r="D38" i="10"/>
  <c r="C38" i="10"/>
  <c r="N37" i="10"/>
  <c r="D37" i="10"/>
  <c r="C37" i="10"/>
  <c r="N36" i="10"/>
  <c r="D36" i="10"/>
  <c r="C36" i="10"/>
  <c r="N35" i="10"/>
  <c r="D35" i="10"/>
  <c r="C35" i="10"/>
  <c r="N34" i="10"/>
  <c r="D34" i="10"/>
  <c r="C34" i="10"/>
  <c r="N33" i="10"/>
  <c r="D33" i="10"/>
  <c r="C33" i="10"/>
  <c r="N32" i="10"/>
  <c r="D32" i="10"/>
  <c r="C32" i="10"/>
  <c r="N31" i="10"/>
  <c r="D31" i="10"/>
  <c r="C31" i="10"/>
  <c r="N30" i="10"/>
  <c r="D30" i="10"/>
  <c r="C30" i="10"/>
  <c r="N29" i="10"/>
  <c r="D29" i="10"/>
  <c r="C29" i="10"/>
  <c r="N28" i="10"/>
  <c r="D28" i="10"/>
  <c r="C28" i="10"/>
  <c r="N27" i="10"/>
  <c r="D27" i="10"/>
  <c r="C27" i="10"/>
  <c r="N26" i="10"/>
  <c r="D26" i="10"/>
  <c r="C26" i="10"/>
  <c r="N25" i="10"/>
  <c r="D25" i="10"/>
  <c r="C25" i="10"/>
  <c r="N24" i="10"/>
  <c r="D24" i="10"/>
  <c r="C24" i="10"/>
  <c r="N23" i="10"/>
  <c r="D23" i="10"/>
  <c r="C23" i="10"/>
  <c r="N22" i="10"/>
  <c r="D22" i="10"/>
  <c r="C22" i="10"/>
  <c r="N21" i="10"/>
  <c r="D21" i="10"/>
  <c r="C21" i="10"/>
  <c r="N20" i="10"/>
  <c r="D20" i="10"/>
  <c r="C20" i="10"/>
  <c r="N19" i="10"/>
  <c r="D19" i="10"/>
  <c r="C19" i="10"/>
  <c r="N18" i="10"/>
  <c r="D18" i="10"/>
  <c r="C18" i="10"/>
  <c r="N17" i="10"/>
  <c r="D17" i="10"/>
  <c r="C17" i="10"/>
  <c r="N16" i="10"/>
  <c r="D16" i="10"/>
  <c r="C16" i="10"/>
  <c r="N15" i="10"/>
  <c r="D15" i="10"/>
  <c r="C15" i="10"/>
  <c r="N14" i="10"/>
  <c r="D14" i="10"/>
  <c r="C14" i="10"/>
  <c r="N13" i="10"/>
  <c r="D13" i="10"/>
  <c r="C13" i="10"/>
  <c r="N12" i="10"/>
  <c r="D12" i="10"/>
  <c r="C12" i="10"/>
  <c r="N11" i="10"/>
  <c r="D11" i="10"/>
  <c r="C11" i="10"/>
  <c r="N10" i="10"/>
  <c r="D10" i="10"/>
  <c r="C10" i="10"/>
  <c r="N9" i="10"/>
  <c r="D9" i="10"/>
  <c r="C9" i="10"/>
  <c r="N8" i="10"/>
  <c r="D8" i="10"/>
  <c r="C8" i="10"/>
  <c r="N7" i="10"/>
  <c r="D7" i="10"/>
  <c r="C7" i="10"/>
  <c r="N6" i="10"/>
  <c r="D6" i="10"/>
  <c r="C6" i="10"/>
  <c r="N5" i="10"/>
  <c r="D5" i="10"/>
  <c r="C5" i="10"/>
  <c r="L204" i="9"/>
  <c r="H204" i="9"/>
  <c r="L203" i="9"/>
  <c r="H203" i="9"/>
  <c r="L202" i="9"/>
  <c r="H202" i="9"/>
  <c r="L201" i="9"/>
  <c r="H201" i="9"/>
  <c r="L200" i="9"/>
  <c r="H200" i="9"/>
  <c r="L199" i="9"/>
  <c r="H199" i="9"/>
  <c r="L198" i="9"/>
  <c r="H198" i="9"/>
  <c r="L197" i="9"/>
  <c r="H197" i="9"/>
  <c r="L196" i="9"/>
  <c r="H196" i="9"/>
  <c r="L195" i="9"/>
  <c r="H195" i="9"/>
  <c r="L194" i="9"/>
  <c r="H194" i="9"/>
  <c r="L193" i="9"/>
  <c r="H193" i="9"/>
  <c r="L192" i="9"/>
  <c r="H192" i="9"/>
  <c r="L191" i="9"/>
  <c r="H191" i="9"/>
  <c r="L190" i="9"/>
  <c r="H190" i="9"/>
  <c r="L189" i="9"/>
  <c r="H189" i="9"/>
  <c r="L188" i="9"/>
  <c r="H188" i="9"/>
  <c r="L187" i="9"/>
  <c r="H187" i="9"/>
  <c r="L186" i="9"/>
  <c r="H186" i="9"/>
  <c r="L185" i="9"/>
  <c r="H185" i="9"/>
  <c r="L184" i="9"/>
  <c r="H184" i="9"/>
  <c r="L183" i="9"/>
  <c r="H183" i="9"/>
  <c r="L182" i="9"/>
  <c r="H182" i="9"/>
  <c r="L181" i="9"/>
  <c r="H181" i="9"/>
  <c r="L180" i="9"/>
  <c r="H180" i="9"/>
  <c r="L179" i="9"/>
  <c r="H179" i="9"/>
  <c r="L178" i="9"/>
  <c r="H178" i="9"/>
  <c r="L177" i="9"/>
  <c r="H177" i="9"/>
  <c r="L176" i="9"/>
  <c r="H176" i="9"/>
  <c r="L175" i="9"/>
  <c r="H175" i="9"/>
  <c r="L174" i="9"/>
  <c r="H174" i="9"/>
  <c r="L173" i="9"/>
  <c r="H173" i="9"/>
  <c r="L172" i="9"/>
  <c r="H172" i="9"/>
  <c r="L171" i="9"/>
  <c r="H171" i="9"/>
  <c r="L170" i="9"/>
  <c r="H170" i="9"/>
  <c r="L169" i="9"/>
  <c r="H169" i="9"/>
  <c r="L168" i="9"/>
  <c r="H168" i="9"/>
  <c r="L167" i="9"/>
  <c r="H167" i="9"/>
  <c r="L166" i="9"/>
  <c r="H166" i="9"/>
  <c r="L165" i="9"/>
  <c r="H165" i="9"/>
  <c r="L164" i="9"/>
  <c r="H164" i="9"/>
  <c r="L163" i="9"/>
  <c r="H163" i="9"/>
  <c r="L162" i="9"/>
  <c r="H162" i="9"/>
  <c r="L161" i="9"/>
  <c r="H161" i="9"/>
  <c r="L160" i="9"/>
  <c r="H160" i="9"/>
  <c r="L159" i="9"/>
  <c r="H159" i="9"/>
  <c r="L158" i="9"/>
  <c r="H158" i="9"/>
  <c r="L157" i="9"/>
  <c r="H157" i="9"/>
  <c r="L156" i="9"/>
  <c r="H156" i="9"/>
  <c r="L155" i="9"/>
  <c r="H155" i="9"/>
  <c r="L154" i="9"/>
  <c r="H154" i="9"/>
  <c r="L153" i="9"/>
  <c r="H153" i="9"/>
  <c r="L152" i="9"/>
  <c r="H152" i="9"/>
  <c r="L151" i="9"/>
  <c r="H151" i="9"/>
  <c r="L150" i="9"/>
  <c r="H150" i="9"/>
  <c r="L149" i="9"/>
  <c r="H149" i="9"/>
  <c r="L148" i="9"/>
  <c r="H148" i="9"/>
  <c r="L147" i="9"/>
  <c r="H147" i="9"/>
  <c r="L146" i="9"/>
  <c r="H146" i="9"/>
  <c r="L145" i="9"/>
  <c r="H145" i="9"/>
  <c r="L144" i="9"/>
  <c r="H144" i="9"/>
  <c r="L143" i="9"/>
  <c r="H143" i="9"/>
  <c r="L142" i="9"/>
  <c r="H142" i="9"/>
  <c r="L141" i="9"/>
  <c r="H141" i="9"/>
  <c r="L140" i="9"/>
  <c r="H140" i="9"/>
  <c r="L139" i="9"/>
  <c r="H139" i="9"/>
  <c r="L138" i="9"/>
  <c r="H138" i="9"/>
  <c r="L137" i="9"/>
  <c r="H137" i="9"/>
  <c r="L136" i="9"/>
  <c r="H136" i="9"/>
  <c r="L135" i="9"/>
  <c r="H135" i="9"/>
  <c r="L134" i="9"/>
  <c r="H134" i="9"/>
  <c r="L133" i="9"/>
  <c r="H133" i="9"/>
  <c r="L132" i="9"/>
  <c r="H132" i="9"/>
  <c r="L131" i="9"/>
  <c r="H131" i="9"/>
  <c r="L130" i="9"/>
  <c r="H130" i="9"/>
  <c r="L129" i="9"/>
  <c r="H129" i="9"/>
  <c r="L128" i="9"/>
  <c r="H128" i="9"/>
  <c r="L127" i="9"/>
  <c r="H127" i="9"/>
  <c r="L126" i="9"/>
  <c r="H126" i="9"/>
  <c r="L125" i="9"/>
  <c r="H125" i="9"/>
  <c r="L124" i="9"/>
  <c r="H124" i="9"/>
  <c r="L123" i="9"/>
  <c r="H123" i="9"/>
  <c r="L122" i="9"/>
  <c r="H122" i="9"/>
  <c r="L121" i="9"/>
  <c r="H121" i="9"/>
  <c r="L120" i="9"/>
  <c r="H120" i="9"/>
  <c r="L119" i="9"/>
  <c r="H119" i="9"/>
  <c r="L118" i="9"/>
  <c r="H118" i="9"/>
  <c r="L117" i="9"/>
  <c r="H117" i="9"/>
  <c r="L116" i="9"/>
  <c r="H116" i="9"/>
  <c r="L115" i="9"/>
  <c r="H115" i="9"/>
  <c r="L114" i="9"/>
  <c r="H114" i="9"/>
  <c r="L113" i="9"/>
  <c r="H113" i="9"/>
  <c r="L112" i="9"/>
  <c r="H112" i="9"/>
  <c r="L111" i="9"/>
  <c r="H111" i="9"/>
  <c r="L110" i="9"/>
  <c r="H110" i="9"/>
  <c r="L109" i="9"/>
  <c r="H109" i="9"/>
  <c r="L108" i="9"/>
  <c r="H108" i="9"/>
  <c r="L107" i="9"/>
  <c r="H107" i="9"/>
  <c r="L106" i="9"/>
  <c r="H106" i="9"/>
  <c r="L105" i="9"/>
  <c r="H105" i="9"/>
  <c r="L104" i="9"/>
  <c r="H104" i="9"/>
  <c r="L103" i="9"/>
  <c r="H103" i="9"/>
  <c r="L102" i="9"/>
  <c r="H102" i="9"/>
  <c r="L101" i="9"/>
  <c r="H101" i="9"/>
  <c r="L100" i="9"/>
  <c r="H100" i="9"/>
  <c r="L99" i="9"/>
  <c r="H99" i="9"/>
  <c r="L98" i="9"/>
  <c r="H98" i="9"/>
  <c r="L97" i="9"/>
  <c r="H97" i="9"/>
  <c r="L96" i="9"/>
  <c r="H96" i="9"/>
  <c r="L95" i="9"/>
  <c r="H95" i="9"/>
  <c r="L94" i="9"/>
  <c r="H94" i="9"/>
  <c r="L93" i="9"/>
  <c r="H93" i="9"/>
  <c r="L92" i="9"/>
  <c r="H92" i="9"/>
  <c r="L91" i="9"/>
  <c r="H91" i="9"/>
  <c r="L90" i="9"/>
  <c r="H90" i="9"/>
  <c r="L89" i="9"/>
  <c r="H89" i="9"/>
  <c r="L88" i="9"/>
  <c r="H88" i="9"/>
  <c r="L87" i="9"/>
  <c r="H87" i="9"/>
  <c r="L86" i="9"/>
  <c r="H86" i="9"/>
  <c r="L85" i="9"/>
  <c r="H85" i="9"/>
  <c r="L84" i="9"/>
  <c r="H84" i="9"/>
  <c r="L83" i="9"/>
  <c r="H83" i="9"/>
  <c r="L82" i="9"/>
  <c r="H82" i="9"/>
  <c r="L81" i="9"/>
  <c r="H81" i="9"/>
  <c r="L80" i="9"/>
  <c r="H80" i="9"/>
  <c r="L79" i="9"/>
  <c r="H79" i="9"/>
  <c r="L78" i="9"/>
  <c r="H78" i="9"/>
  <c r="L77" i="9"/>
  <c r="H77" i="9"/>
  <c r="L76" i="9"/>
  <c r="H76" i="9"/>
  <c r="L75" i="9"/>
  <c r="H75" i="9"/>
  <c r="L74" i="9"/>
  <c r="H74" i="9"/>
  <c r="L73" i="9"/>
  <c r="H73" i="9"/>
  <c r="L72" i="9"/>
  <c r="H72" i="9"/>
  <c r="L71" i="9"/>
  <c r="H71" i="9"/>
  <c r="L70" i="9"/>
  <c r="H70" i="9"/>
  <c r="L69" i="9"/>
  <c r="H69" i="9"/>
  <c r="L68" i="9"/>
  <c r="H68" i="9"/>
  <c r="L67" i="9"/>
  <c r="H67" i="9"/>
  <c r="L66" i="9"/>
  <c r="H66" i="9"/>
  <c r="L65" i="9"/>
  <c r="H65" i="9"/>
  <c r="L64" i="9"/>
  <c r="H64" i="9"/>
  <c r="L63" i="9"/>
  <c r="H63" i="9"/>
  <c r="L62" i="9"/>
  <c r="H62" i="9"/>
  <c r="L61" i="9"/>
  <c r="H61" i="9"/>
  <c r="L60" i="9"/>
  <c r="H60" i="9"/>
  <c r="L59" i="9"/>
  <c r="H59" i="9"/>
  <c r="L58" i="9"/>
  <c r="H58" i="9"/>
  <c r="L57" i="9"/>
  <c r="H57" i="9"/>
  <c r="L56" i="9"/>
  <c r="H56" i="9"/>
  <c r="L55" i="9"/>
  <c r="H55" i="9"/>
  <c r="L54" i="9"/>
  <c r="H54" i="9"/>
  <c r="L53" i="9"/>
  <c r="H53" i="9"/>
  <c r="L52" i="9"/>
  <c r="H52" i="9"/>
  <c r="L51" i="9"/>
  <c r="H51" i="9"/>
  <c r="L50" i="9"/>
  <c r="H50" i="9"/>
  <c r="L49" i="9"/>
  <c r="H49" i="9"/>
  <c r="L48" i="9"/>
  <c r="H48" i="9"/>
  <c r="L47" i="9"/>
  <c r="H47" i="9"/>
  <c r="L46" i="9"/>
  <c r="H46" i="9"/>
  <c r="L45" i="9"/>
  <c r="H45" i="9"/>
  <c r="L44" i="9"/>
  <c r="H44" i="9"/>
  <c r="L43" i="9"/>
  <c r="H43" i="9"/>
  <c r="L42" i="9"/>
  <c r="H42" i="9"/>
  <c r="L41" i="9"/>
  <c r="H41" i="9"/>
  <c r="L40" i="9"/>
  <c r="H40" i="9"/>
  <c r="L39" i="9"/>
  <c r="H39" i="9"/>
  <c r="L38" i="9"/>
  <c r="H38" i="9"/>
  <c r="L37" i="9"/>
  <c r="H37" i="9"/>
  <c r="L36" i="9"/>
  <c r="H36" i="9"/>
  <c r="L35" i="9"/>
  <c r="H35" i="9"/>
  <c r="L34" i="9"/>
  <c r="H34" i="9"/>
  <c r="L33" i="9"/>
  <c r="H33" i="9"/>
  <c r="L32" i="9"/>
  <c r="H32" i="9"/>
  <c r="L31" i="9"/>
  <c r="H31" i="9"/>
  <c r="L30" i="9"/>
  <c r="H30" i="9"/>
  <c r="L29" i="9"/>
  <c r="H29" i="9"/>
  <c r="L28" i="9"/>
  <c r="H28" i="9"/>
  <c r="L27" i="9"/>
  <c r="H27" i="9"/>
  <c r="L26" i="9"/>
  <c r="H26" i="9"/>
  <c r="L25" i="9"/>
  <c r="H25" i="9"/>
  <c r="L24" i="9"/>
  <c r="H24" i="9"/>
  <c r="L23" i="9"/>
  <c r="H23" i="9"/>
  <c r="L22" i="9"/>
  <c r="H22" i="9"/>
  <c r="L21" i="9"/>
  <c r="H21" i="9"/>
  <c r="L20" i="9"/>
  <c r="H20" i="9"/>
  <c r="L19" i="9"/>
  <c r="H19" i="9"/>
  <c r="L18" i="9"/>
  <c r="H18" i="9"/>
  <c r="L17" i="9"/>
  <c r="H17" i="9"/>
  <c r="L16" i="9"/>
  <c r="H16" i="9"/>
  <c r="L15" i="9"/>
  <c r="H15" i="9"/>
  <c r="L14" i="9"/>
  <c r="H14" i="9"/>
  <c r="L13" i="9"/>
  <c r="H13" i="9"/>
  <c r="L12" i="9"/>
  <c r="H12" i="9"/>
  <c r="L11" i="9"/>
  <c r="H11" i="9"/>
  <c r="L10" i="9"/>
  <c r="H10" i="9"/>
  <c r="L9" i="9"/>
  <c r="H9" i="9"/>
  <c r="L8" i="9"/>
  <c r="H8" i="9"/>
  <c r="L7" i="9"/>
  <c r="H7" i="9"/>
  <c r="L6" i="9"/>
  <c r="H6" i="9"/>
  <c r="L5" i="9"/>
  <c r="H5" i="9"/>
  <c r="D204" i="8"/>
  <c r="C204" i="8"/>
  <c r="B204" i="8"/>
  <c r="D203" i="8"/>
  <c r="C203" i="8"/>
  <c r="B203" i="8"/>
  <c r="D202" i="8"/>
  <c r="C202" i="8"/>
  <c r="B202" i="8"/>
  <c r="D201" i="8"/>
  <c r="C201" i="8"/>
  <c r="B201" i="8"/>
  <c r="D200" i="8"/>
  <c r="C200" i="8"/>
  <c r="B200" i="8"/>
  <c r="D199" i="8"/>
  <c r="C199" i="8"/>
  <c r="B199" i="8"/>
  <c r="D198" i="8"/>
  <c r="C198" i="8"/>
  <c r="B198" i="8"/>
  <c r="D197" i="8"/>
  <c r="C197" i="8"/>
  <c r="B197" i="8"/>
  <c r="D196" i="8"/>
  <c r="C196" i="8"/>
  <c r="B196" i="8"/>
  <c r="D195" i="8"/>
  <c r="C195" i="8"/>
  <c r="B195" i="8"/>
  <c r="D194" i="8"/>
  <c r="C194" i="8"/>
  <c r="B194" i="8"/>
  <c r="D193" i="8"/>
  <c r="C193" i="8"/>
  <c r="B193" i="8"/>
  <c r="D192" i="8"/>
  <c r="C192" i="8"/>
  <c r="B192" i="8"/>
  <c r="D191" i="8"/>
  <c r="C191" i="8"/>
  <c r="B191" i="8"/>
  <c r="D190" i="8"/>
  <c r="C190" i="8"/>
  <c r="B190" i="8"/>
  <c r="D189" i="8"/>
  <c r="C189" i="8"/>
  <c r="B189" i="8"/>
  <c r="D188" i="8"/>
  <c r="C188" i="8"/>
  <c r="B188" i="8"/>
  <c r="D187" i="8"/>
  <c r="C187" i="8"/>
  <c r="B187" i="8"/>
  <c r="D186" i="8"/>
  <c r="C186" i="8"/>
  <c r="B186" i="8"/>
  <c r="D185" i="8"/>
  <c r="C185" i="8"/>
  <c r="B185" i="8"/>
  <c r="D184" i="8"/>
  <c r="C184" i="8"/>
  <c r="B184" i="8"/>
  <c r="D183" i="8"/>
  <c r="C183" i="8"/>
  <c r="B183" i="8"/>
  <c r="D182" i="8"/>
  <c r="C182" i="8"/>
  <c r="B182" i="8"/>
  <c r="D181" i="8"/>
  <c r="C181" i="8"/>
  <c r="B181" i="8"/>
  <c r="D180" i="8"/>
  <c r="C180" i="8"/>
  <c r="B180" i="8"/>
  <c r="D179" i="8"/>
  <c r="C179" i="8"/>
  <c r="B179" i="8"/>
  <c r="D178" i="8"/>
  <c r="C178" i="8"/>
  <c r="B178" i="8"/>
  <c r="D177" i="8"/>
  <c r="C177" i="8"/>
  <c r="B177" i="8"/>
  <c r="D176" i="8"/>
  <c r="C176" i="8"/>
  <c r="B176" i="8"/>
  <c r="D175" i="8"/>
  <c r="C175" i="8"/>
  <c r="B175" i="8"/>
  <c r="D174" i="8"/>
  <c r="C174" i="8"/>
  <c r="B174" i="8"/>
  <c r="D173" i="8"/>
  <c r="C173" i="8"/>
  <c r="B173" i="8"/>
  <c r="D172" i="8"/>
  <c r="C172" i="8"/>
  <c r="B172" i="8"/>
  <c r="D171" i="8"/>
  <c r="C171" i="8"/>
  <c r="B171" i="8"/>
  <c r="D170" i="8"/>
  <c r="C170" i="8"/>
  <c r="B170" i="8"/>
  <c r="D169" i="8"/>
  <c r="C169" i="8"/>
  <c r="B169" i="8"/>
  <c r="D168" i="8"/>
  <c r="C168" i="8"/>
  <c r="B168" i="8"/>
  <c r="D167" i="8"/>
  <c r="C167" i="8"/>
  <c r="B167" i="8"/>
  <c r="D166" i="8"/>
  <c r="C166" i="8"/>
  <c r="B166" i="8"/>
  <c r="D165" i="8"/>
  <c r="C165" i="8"/>
  <c r="B165" i="8"/>
  <c r="D164" i="8"/>
  <c r="C164" i="8"/>
  <c r="B164" i="8"/>
  <c r="D163" i="8"/>
  <c r="C163" i="8"/>
  <c r="B163" i="8"/>
  <c r="D162" i="8"/>
  <c r="C162" i="8"/>
  <c r="B162" i="8"/>
  <c r="D161" i="8"/>
  <c r="C161" i="8"/>
  <c r="B161" i="8"/>
  <c r="D160" i="8"/>
  <c r="C160" i="8"/>
  <c r="B160" i="8"/>
  <c r="D159" i="8"/>
  <c r="C159" i="8"/>
  <c r="B159" i="8"/>
  <c r="D158" i="8"/>
  <c r="C158" i="8"/>
  <c r="B158" i="8"/>
  <c r="D157" i="8"/>
  <c r="C157" i="8"/>
  <c r="B157" i="8"/>
  <c r="D156" i="8"/>
  <c r="C156" i="8"/>
  <c r="B156" i="8"/>
  <c r="D155" i="8"/>
  <c r="C155" i="8"/>
  <c r="B155" i="8"/>
  <c r="D154" i="8"/>
  <c r="C154" i="8"/>
  <c r="B154" i="8"/>
  <c r="D153" i="8"/>
  <c r="C153" i="8"/>
  <c r="B153" i="8"/>
  <c r="D152" i="8"/>
  <c r="C152" i="8"/>
  <c r="B152" i="8"/>
  <c r="D151" i="8"/>
  <c r="C151" i="8"/>
  <c r="B151" i="8"/>
  <c r="D150" i="8"/>
  <c r="C150" i="8"/>
  <c r="B150" i="8"/>
  <c r="D149" i="8"/>
  <c r="C149" i="8"/>
  <c r="B149" i="8"/>
  <c r="D148" i="8"/>
  <c r="C148" i="8"/>
  <c r="B148" i="8"/>
  <c r="D147" i="8"/>
  <c r="C147" i="8"/>
  <c r="B147" i="8"/>
  <c r="D146" i="8"/>
  <c r="C146" i="8"/>
  <c r="B146" i="8"/>
  <c r="D145" i="8"/>
  <c r="C145" i="8"/>
  <c r="B145" i="8"/>
  <c r="D144" i="8"/>
  <c r="C144" i="8"/>
  <c r="B144" i="8"/>
  <c r="D143" i="8"/>
  <c r="C143" i="8"/>
  <c r="B143" i="8"/>
  <c r="D142" i="8"/>
  <c r="C142" i="8"/>
  <c r="B142" i="8"/>
  <c r="D141" i="8"/>
  <c r="C141" i="8"/>
  <c r="B141" i="8"/>
  <c r="D140" i="8"/>
  <c r="C140" i="8"/>
  <c r="B140" i="8"/>
  <c r="D139" i="8"/>
  <c r="C139" i="8"/>
  <c r="B139" i="8"/>
  <c r="D138" i="8"/>
  <c r="C138" i="8"/>
  <c r="B138" i="8"/>
  <c r="D137" i="8"/>
  <c r="C137" i="8"/>
  <c r="B137" i="8"/>
  <c r="D136" i="8"/>
  <c r="C136" i="8"/>
  <c r="B136" i="8"/>
  <c r="D135" i="8"/>
  <c r="C135" i="8"/>
  <c r="B135" i="8"/>
  <c r="D134" i="8"/>
  <c r="C134" i="8"/>
  <c r="B134" i="8"/>
  <c r="D133" i="8"/>
  <c r="C133" i="8"/>
  <c r="B133" i="8"/>
  <c r="D132" i="8"/>
  <c r="C132" i="8"/>
  <c r="B132" i="8"/>
  <c r="D131" i="8"/>
  <c r="C131" i="8"/>
  <c r="B131" i="8"/>
  <c r="D130" i="8"/>
  <c r="C130" i="8"/>
  <c r="B130" i="8"/>
  <c r="D129" i="8"/>
  <c r="C129" i="8"/>
  <c r="B129" i="8"/>
  <c r="D128" i="8"/>
  <c r="C128" i="8"/>
  <c r="B128" i="8"/>
  <c r="D127" i="8"/>
  <c r="C127" i="8"/>
  <c r="B127" i="8"/>
  <c r="D126" i="8"/>
  <c r="C126" i="8"/>
  <c r="B126" i="8"/>
  <c r="D125" i="8"/>
  <c r="C125" i="8"/>
  <c r="B125" i="8"/>
  <c r="D124" i="8"/>
  <c r="C124" i="8"/>
  <c r="B124" i="8"/>
  <c r="D123" i="8"/>
  <c r="C123" i="8"/>
  <c r="B123" i="8"/>
  <c r="D122" i="8"/>
  <c r="C122" i="8"/>
  <c r="B122" i="8"/>
  <c r="D121" i="8"/>
  <c r="C121" i="8"/>
  <c r="B121" i="8"/>
  <c r="D120" i="8"/>
  <c r="C120" i="8"/>
  <c r="B120" i="8"/>
  <c r="D119" i="8"/>
  <c r="C119" i="8"/>
  <c r="B119" i="8"/>
  <c r="D118" i="8"/>
  <c r="C118" i="8"/>
  <c r="B118" i="8"/>
  <c r="D117" i="8"/>
  <c r="C117" i="8"/>
  <c r="B117" i="8"/>
  <c r="D116" i="8"/>
  <c r="C116" i="8"/>
  <c r="B116" i="8"/>
  <c r="D115" i="8"/>
  <c r="C115" i="8"/>
  <c r="B115" i="8"/>
  <c r="D114" i="8"/>
  <c r="C114" i="8"/>
  <c r="B114" i="8"/>
  <c r="D113" i="8"/>
  <c r="C113" i="8"/>
  <c r="B113" i="8"/>
  <c r="D112" i="8"/>
  <c r="C112" i="8"/>
  <c r="B112" i="8"/>
  <c r="D111" i="8"/>
  <c r="C111" i="8"/>
  <c r="B111" i="8"/>
  <c r="D110" i="8"/>
  <c r="C110" i="8"/>
  <c r="B110" i="8"/>
  <c r="D109" i="8"/>
  <c r="C109" i="8"/>
  <c r="B109" i="8"/>
  <c r="D108" i="8"/>
  <c r="C108" i="8"/>
  <c r="B108" i="8"/>
  <c r="D107" i="8"/>
  <c r="C107" i="8"/>
  <c r="B107" i="8"/>
  <c r="D106" i="8"/>
  <c r="C106" i="8"/>
  <c r="B106" i="8"/>
  <c r="D105" i="8"/>
  <c r="C105" i="8"/>
  <c r="B105" i="8"/>
  <c r="D104" i="8"/>
  <c r="C104" i="8"/>
  <c r="B104" i="8"/>
  <c r="D103" i="8"/>
  <c r="C103" i="8"/>
  <c r="B103" i="8"/>
  <c r="D102" i="8"/>
  <c r="C102" i="8"/>
  <c r="B102" i="8"/>
  <c r="D101" i="8"/>
  <c r="C101" i="8"/>
  <c r="B101" i="8"/>
  <c r="D100" i="8"/>
  <c r="C100" i="8"/>
  <c r="B100" i="8"/>
  <c r="D99" i="8"/>
  <c r="C99" i="8"/>
  <c r="B99" i="8"/>
  <c r="D98" i="8"/>
  <c r="C98" i="8"/>
  <c r="B98" i="8"/>
  <c r="D97" i="8"/>
  <c r="C97" i="8"/>
  <c r="B97" i="8"/>
  <c r="D96" i="8"/>
  <c r="C96" i="8"/>
  <c r="B96" i="8"/>
  <c r="D95" i="8"/>
  <c r="C95" i="8"/>
  <c r="B95" i="8"/>
  <c r="D94" i="8"/>
  <c r="C94" i="8"/>
  <c r="B94" i="8"/>
  <c r="D93" i="8"/>
  <c r="C93" i="8"/>
  <c r="B93" i="8"/>
  <c r="D92" i="8"/>
  <c r="C92" i="8"/>
  <c r="B92" i="8"/>
  <c r="D91" i="8"/>
  <c r="C91" i="8"/>
  <c r="B91" i="8"/>
  <c r="D90" i="8"/>
  <c r="C90" i="8"/>
  <c r="B90" i="8"/>
  <c r="D89" i="8"/>
  <c r="C89" i="8"/>
  <c r="B89" i="8"/>
  <c r="D88" i="8"/>
  <c r="C88" i="8"/>
  <c r="B88" i="8"/>
  <c r="D87" i="8"/>
  <c r="C87" i="8"/>
  <c r="B87" i="8"/>
  <c r="D86" i="8"/>
  <c r="C86" i="8"/>
  <c r="B86" i="8"/>
  <c r="D85" i="8"/>
  <c r="C85" i="8"/>
  <c r="B85" i="8"/>
  <c r="D84" i="8"/>
  <c r="C84" i="8"/>
  <c r="B84" i="8"/>
  <c r="D83" i="8"/>
  <c r="C83" i="8"/>
  <c r="B83" i="8"/>
  <c r="D82" i="8"/>
  <c r="C82" i="8"/>
  <c r="B82" i="8"/>
  <c r="D81" i="8"/>
  <c r="C81" i="8"/>
  <c r="B81" i="8"/>
  <c r="D80" i="8"/>
  <c r="C80" i="8"/>
  <c r="B80" i="8"/>
  <c r="D79" i="8"/>
  <c r="C79" i="8"/>
  <c r="B79" i="8"/>
  <c r="D78" i="8"/>
  <c r="C78" i="8"/>
  <c r="B78" i="8"/>
  <c r="D77" i="8"/>
  <c r="C77" i="8"/>
  <c r="B77" i="8"/>
  <c r="D76" i="8"/>
  <c r="C76" i="8"/>
  <c r="B76" i="8"/>
  <c r="D75" i="8"/>
  <c r="C75" i="8"/>
  <c r="B75" i="8"/>
  <c r="D74" i="8"/>
  <c r="C74" i="8"/>
  <c r="B74" i="8"/>
  <c r="D73" i="8"/>
  <c r="C73" i="8"/>
  <c r="B73" i="8"/>
  <c r="D72" i="8"/>
  <c r="C72" i="8"/>
  <c r="B72" i="8"/>
  <c r="D71" i="8"/>
  <c r="C71" i="8"/>
  <c r="B71" i="8"/>
  <c r="D70" i="8"/>
  <c r="C70" i="8"/>
  <c r="B70" i="8"/>
  <c r="D69" i="8"/>
  <c r="C69" i="8"/>
  <c r="B69" i="8"/>
  <c r="D68" i="8"/>
  <c r="C68" i="8"/>
  <c r="B68" i="8"/>
  <c r="D67" i="8"/>
  <c r="C67" i="8"/>
  <c r="B67" i="8"/>
  <c r="D66" i="8"/>
  <c r="C66" i="8"/>
  <c r="B66" i="8"/>
  <c r="D65" i="8"/>
  <c r="C65" i="8"/>
  <c r="B65" i="8"/>
  <c r="D64" i="8"/>
  <c r="C64" i="8"/>
  <c r="B64" i="8"/>
  <c r="D63" i="8"/>
  <c r="C63" i="8"/>
  <c r="B63" i="8"/>
  <c r="D62" i="8"/>
  <c r="C62" i="8"/>
  <c r="B62" i="8"/>
  <c r="D61" i="8"/>
  <c r="C61" i="8"/>
  <c r="B61" i="8"/>
  <c r="D60" i="8"/>
  <c r="C60" i="8"/>
  <c r="B60" i="8"/>
  <c r="D59" i="8"/>
  <c r="C59" i="8"/>
  <c r="B59" i="8"/>
  <c r="D58" i="8"/>
  <c r="C58" i="8"/>
  <c r="B58" i="8"/>
  <c r="D57" i="8"/>
  <c r="C57" i="8"/>
  <c r="B57" i="8"/>
  <c r="D56" i="8"/>
  <c r="C56" i="8"/>
  <c r="B56" i="8"/>
  <c r="D55" i="8"/>
  <c r="C55" i="8"/>
  <c r="B55" i="8"/>
  <c r="D54" i="8"/>
  <c r="C54" i="8"/>
  <c r="B54" i="8"/>
  <c r="D53" i="8"/>
  <c r="C53" i="8"/>
  <c r="B53" i="8"/>
  <c r="D52" i="8"/>
  <c r="C52" i="8"/>
  <c r="B52" i="8"/>
  <c r="D51" i="8"/>
  <c r="C51" i="8"/>
  <c r="B51" i="8"/>
  <c r="D50" i="8"/>
  <c r="C50" i="8"/>
  <c r="B50" i="8"/>
  <c r="D49" i="8"/>
  <c r="C49" i="8"/>
  <c r="B49" i="8"/>
  <c r="D48" i="8"/>
  <c r="C48" i="8"/>
  <c r="B48" i="8"/>
  <c r="D47" i="8"/>
  <c r="C47" i="8"/>
  <c r="B47" i="8"/>
  <c r="D46" i="8"/>
  <c r="C46" i="8"/>
  <c r="B46" i="8"/>
  <c r="D45" i="8"/>
  <c r="C45" i="8"/>
  <c r="B45" i="8"/>
  <c r="D44" i="8"/>
  <c r="C44" i="8"/>
  <c r="B44" i="8"/>
  <c r="D43" i="8"/>
  <c r="C43" i="8"/>
  <c r="B43" i="8"/>
  <c r="D42" i="8"/>
  <c r="C42" i="8"/>
  <c r="B42" i="8"/>
  <c r="D41" i="8"/>
  <c r="C41" i="8"/>
  <c r="B41" i="8"/>
  <c r="D40" i="8"/>
  <c r="C40" i="8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D204" i="7"/>
  <c r="C204" i="7"/>
  <c r="B204" i="7"/>
  <c r="D203" i="7"/>
  <c r="C203" i="7"/>
  <c r="B203" i="7"/>
  <c r="D202" i="7"/>
  <c r="C202" i="7"/>
  <c r="B202" i="7"/>
  <c r="D201" i="7"/>
  <c r="C201" i="7"/>
  <c r="B201" i="7"/>
  <c r="D200" i="7"/>
  <c r="C200" i="7"/>
  <c r="B200" i="7"/>
  <c r="D199" i="7"/>
  <c r="C199" i="7"/>
  <c r="B199" i="7"/>
  <c r="D198" i="7"/>
  <c r="C198" i="7"/>
  <c r="B198" i="7"/>
  <c r="D197" i="7"/>
  <c r="C197" i="7"/>
  <c r="B197" i="7"/>
  <c r="D196" i="7"/>
  <c r="C196" i="7"/>
  <c r="B196" i="7"/>
  <c r="D195" i="7"/>
  <c r="C195" i="7"/>
  <c r="B195" i="7"/>
  <c r="D194" i="7"/>
  <c r="C194" i="7"/>
  <c r="B194" i="7"/>
  <c r="D193" i="7"/>
  <c r="C193" i="7"/>
  <c r="B193" i="7"/>
  <c r="D192" i="7"/>
  <c r="C192" i="7"/>
  <c r="B192" i="7"/>
  <c r="D191" i="7"/>
  <c r="C191" i="7"/>
  <c r="B191" i="7"/>
  <c r="D190" i="7"/>
  <c r="C190" i="7"/>
  <c r="B190" i="7"/>
  <c r="D189" i="7"/>
  <c r="C189" i="7"/>
  <c r="B189" i="7"/>
  <c r="D188" i="7"/>
  <c r="C188" i="7"/>
  <c r="B188" i="7"/>
  <c r="D187" i="7"/>
  <c r="C187" i="7"/>
  <c r="B187" i="7"/>
  <c r="D186" i="7"/>
  <c r="C186" i="7"/>
  <c r="B186" i="7"/>
  <c r="D185" i="7"/>
  <c r="C185" i="7"/>
  <c r="B185" i="7"/>
  <c r="D184" i="7"/>
  <c r="C184" i="7"/>
  <c r="B184" i="7"/>
  <c r="D183" i="7"/>
  <c r="C183" i="7"/>
  <c r="B183" i="7"/>
  <c r="D182" i="7"/>
  <c r="C182" i="7"/>
  <c r="B182" i="7"/>
  <c r="D181" i="7"/>
  <c r="C181" i="7"/>
  <c r="B181" i="7"/>
  <c r="D180" i="7"/>
  <c r="C180" i="7"/>
  <c r="B180" i="7"/>
  <c r="D179" i="7"/>
  <c r="C179" i="7"/>
  <c r="B179" i="7"/>
  <c r="D178" i="7"/>
  <c r="C178" i="7"/>
  <c r="B178" i="7"/>
  <c r="D177" i="7"/>
  <c r="C177" i="7"/>
  <c r="B177" i="7"/>
  <c r="D176" i="7"/>
  <c r="C176" i="7"/>
  <c r="B176" i="7"/>
  <c r="D175" i="7"/>
  <c r="C175" i="7"/>
  <c r="B175" i="7"/>
  <c r="D174" i="7"/>
  <c r="C174" i="7"/>
  <c r="B174" i="7"/>
  <c r="D173" i="7"/>
  <c r="C173" i="7"/>
  <c r="B173" i="7"/>
  <c r="D172" i="7"/>
  <c r="C172" i="7"/>
  <c r="B172" i="7"/>
  <c r="D171" i="7"/>
  <c r="C171" i="7"/>
  <c r="B171" i="7"/>
  <c r="D170" i="7"/>
  <c r="C170" i="7"/>
  <c r="B170" i="7"/>
  <c r="D169" i="7"/>
  <c r="C169" i="7"/>
  <c r="B169" i="7"/>
  <c r="D168" i="7"/>
  <c r="C168" i="7"/>
  <c r="B168" i="7"/>
  <c r="D167" i="7"/>
  <c r="C167" i="7"/>
  <c r="B167" i="7"/>
  <c r="D166" i="7"/>
  <c r="C166" i="7"/>
  <c r="B166" i="7"/>
  <c r="D165" i="7"/>
  <c r="C165" i="7"/>
  <c r="B165" i="7"/>
  <c r="D164" i="7"/>
  <c r="C164" i="7"/>
  <c r="B164" i="7"/>
  <c r="D163" i="7"/>
  <c r="C163" i="7"/>
  <c r="B163" i="7"/>
  <c r="D162" i="7"/>
  <c r="C162" i="7"/>
  <c r="B162" i="7"/>
  <c r="D161" i="7"/>
  <c r="C161" i="7"/>
  <c r="B161" i="7"/>
  <c r="D160" i="7"/>
  <c r="C160" i="7"/>
  <c r="B160" i="7"/>
  <c r="D159" i="7"/>
  <c r="C159" i="7"/>
  <c r="B159" i="7"/>
  <c r="D158" i="7"/>
  <c r="C158" i="7"/>
  <c r="B158" i="7"/>
  <c r="D157" i="7"/>
  <c r="C157" i="7"/>
  <c r="B157" i="7"/>
  <c r="D156" i="7"/>
  <c r="C156" i="7"/>
  <c r="B156" i="7"/>
  <c r="D155" i="7"/>
  <c r="C155" i="7"/>
  <c r="B155" i="7"/>
  <c r="D154" i="7"/>
  <c r="C154" i="7"/>
  <c r="B154" i="7"/>
  <c r="D153" i="7"/>
  <c r="C153" i="7"/>
  <c r="B153" i="7"/>
  <c r="D152" i="7"/>
  <c r="C152" i="7"/>
  <c r="B152" i="7"/>
  <c r="D151" i="7"/>
  <c r="C151" i="7"/>
  <c r="B151" i="7"/>
  <c r="D150" i="7"/>
  <c r="C150" i="7"/>
  <c r="B150" i="7"/>
  <c r="D149" i="7"/>
  <c r="C149" i="7"/>
  <c r="B149" i="7"/>
  <c r="D148" i="7"/>
  <c r="C148" i="7"/>
  <c r="B148" i="7"/>
  <c r="D147" i="7"/>
  <c r="C147" i="7"/>
  <c r="B147" i="7"/>
  <c r="D146" i="7"/>
  <c r="C146" i="7"/>
  <c r="B146" i="7"/>
  <c r="D145" i="7"/>
  <c r="C145" i="7"/>
  <c r="B145" i="7"/>
  <c r="D144" i="7"/>
  <c r="C144" i="7"/>
  <c r="B144" i="7"/>
  <c r="D143" i="7"/>
  <c r="C143" i="7"/>
  <c r="B143" i="7"/>
  <c r="D142" i="7"/>
  <c r="C142" i="7"/>
  <c r="B142" i="7"/>
  <c r="D141" i="7"/>
  <c r="C141" i="7"/>
  <c r="B141" i="7"/>
  <c r="D140" i="7"/>
  <c r="C140" i="7"/>
  <c r="B140" i="7"/>
  <c r="D139" i="7"/>
  <c r="C139" i="7"/>
  <c r="B139" i="7"/>
  <c r="D138" i="7"/>
  <c r="C138" i="7"/>
  <c r="B138" i="7"/>
  <c r="D137" i="7"/>
  <c r="C137" i="7"/>
  <c r="B137" i="7"/>
  <c r="D136" i="7"/>
  <c r="C136" i="7"/>
  <c r="B136" i="7"/>
  <c r="D135" i="7"/>
  <c r="C135" i="7"/>
  <c r="B135" i="7"/>
  <c r="D134" i="7"/>
  <c r="C134" i="7"/>
  <c r="B134" i="7"/>
  <c r="D133" i="7"/>
  <c r="C133" i="7"/>
  <c r="B133" i="7"/>
  <c r="D132" i="7"/>
  <c r="C132" i="7"/>
  <c r="B132" i="7"/>
  <c r="D131" i="7"/>
  <c r="C131" i="7"/>
  <c r="B131" i="7"/>
  <c r="D130" i="7"/>
  <c r="C130" i="7"/>
  <c r="B130" i="7"/>
  <c r="D129" i="7"/>
  <c r="C129" i="7"/>
  <c r="B129" i="7"/>
  <c r="D128" i="7"/>
  <c r="C128" i="7"/>
  <c r="B128" i="7"/>
  <c r="D127" i="7"/>
  <c r="C127" i="7"/>
  <c r="B127" i="7"/>
  <c r="D126" i="7"/>
  <c r="C126" i="7"/>
  <c r="B126" i="7"/>
  <c r="D125" i="7"/>
  <c r="C125" i="7"/>
  <c r="B125" i="7"/>
  <c r="D124" i="7"/>
  <c r="C124" i="7"/>
  <c r="B124" i="7"/>
  <c r="D123" i="7"/>
  <c r="C123" i="7"/>
  <c r="B123" i="7"/>
  <c r="D122" i="7"/>
  <c r="C122" i="7"/>
  <c r="B122" i="7"/>
  <c r="D121" i="7"/>
  <c r="C121" i="7"/>
  <c r="B121" i="7"/>
  <c r="D120" i="7"/>
  <c r="C120" i="7"/>
  <c r="B120" i="7"/>
  <c r="D119" i="7"/>
  <c r="C119" i="7"/>
  <c r="B119" i="7"/>
  <c r="D118" i="7"/>
  <c r="C118" i="7"/>
  <c r="B118" i="7"/>
  <c r="D117" i="7"/>
  <c r="C117" i="7"/>
  <c r="B117" i="7"/>
  <c r="D116" i="7"/>
  <c r="C116" i="7"/>
  <c r="B116" i="7"/>
  <c r="D115" i="7"/>
  <c r="C115" i="7"/>
  <c r="B115" i="7"/>
  <c r="D114" i="7"/>
  <c r="C114" i="7"/>
  <c r="B114" i="7"/>
  <c r="D113" i="7"/>
  <c r="C113" i="7"/>
  <c r="B113" i="7"/>
  <c r="D112" i="7"/>
  <c r="C112" i="7"/>
  <c r="B112" i="7"/>
  <c r="D111" i="7"/>
  <c r="C111" i="7"/>
  <c r="B111" i="7"/>
  <c r="D110" i="7"/>
  <c r="C110" i="7"/>
  <c r="B110" i="7"/>
  <c r="D109" i="7"/>
  <c r="C109" i="7"/>
  <c r="B109" i="7"/>
  <c r="D108" i="7"/>
  <c r="C108" i="7"/>
  <c r="B108" i="7"/>
  <c r="D107" i="7"/>
  <c r="C107" i="7"/>
  <c r="B107" i="7"/>
  <c r="D106" i="7"/>
  <c r="C106" i="7"/>
  <c r="B106" i="7"/>
  <c r="D105" i="7"/>
  <c r="C105" i="7"/>
  <c r="B105" i="7"/>
  <c r="D104" i="7"/>
  <c r="C104" i="7"/>
  <c r="B104" i="7"/>
  <c r="D103" i="7"/>
  <c r="C103" i="7"/>
  <c r="B103" i="7"/>
  <c r="D102" i="7"/>
  <c r="C102" i="7"/>
  <c r="B102" i="7"/>
  <c r="D101" i="7"/>
  <c r="C101" i="7"/>
  <c r="B101" i="7"/>
  <c r="D100" i="7"/>
  <c r="C100" i="7"/>
  <c r="B100" i="7"/>
  <c r="D99" i="7"/>
  <c r="C99" i="7"/>
  <c r="B99" i="7"/>
  <c r="D98" i="7"/>
  <c r="C98" i="7"/>
  <c r="B98" i="7"/>
  <c r="D97" i="7"/>
  <c r="C97" i="7"/>
  <c r="B97" i="7"/>
  <c r="D96" i="7"/>
  <c r="C96" i="7"/>
  <c r="B96" i="7"/>
  <c r="D95" i="7"/>
  <c r="C95" i="7"/>
  <c r="B95" i="7"/>
  <c r="D94" i="7"/>
  <c r="C94" i="7"/>
  <c r="B94" i="7"/>
  <c r="D93" i="7"/>
  <c r="C93" i="7"/>
  <c r="B93" i="7"/>
  <c r="D92" i="7"/>
  <c r="C92" i="7"/>
  <c r="B92" i="7"/>
  <c r="D91" i="7"/>
  <c r="C91" i="7"/>
  <c r="B91" i="7"/>
  <c r="D90" i="7"/>
  <c r="C90" i="7"/>
  <c r="B90" i="7"/>
  <c r="D89" i="7"/>
  <c r="C89" i="7"/>
  <c r="B89" i="7"/>
  <c r="D88" i="7"/>
  <c r="C88" i="7"/>
  <c r="B88" i="7"/>
  <c r="D87" i="7"/>
  <c r="C87" i="7"/>
  <c r="B87" i="7"/>
  <c r="D86" i="7"/>
  <c r="C86" i="7"/>
  <c r="B86" i="7"/>
  <c r="D85" i="7"/>
  <c r="C85" i="7"/>
  <c r="B85" i="7"/>
  <c r="D84" i="7"/>
  <c r="C84" i="7"/>
  <c r="B84" i="7"/>
  <c r="D83" i="7"/>
  <c r="C83" i="7"/>
  <c r="B83" i="7"/>
  <c r="D82" i="7"/>
  <c r="C82" i="7"/>
  <c r="B82" i="7"/>
  <c r="D81" i="7"/>
  <c r="C81" i="7"/>
  <c r="B81" i="7"/>
  <c r="D80" i="7"/>
  <c r="C80" i="7"/>
  <c r="B80" i="7"/>
  <c r="D79" i="7"/>
  <c r="C79" i="7"/>
  <c r="B79" i="7"/>
  <c r="D78" i="7"/>
  <c r="C78" i="7"/>
  <c r="B78" i="7"/>
  <c r="D77" i="7"/>
  <c r="C77" i="7"/>
  <c r="B77" i="7"/>
  <c r="D76" i="7"/>
  <c r="C76" i="7"/>
  <c r="B76" i="7"/>
  <c r="D75" i="7"/>
  <c r="C75" i="7"/>
  <c r="B75" i="7"/>
  <c r="D74" i="7"/>
  <c r="C74" i="7"/>
  <c r="B74" i="7"/>
  <c r="D73" i="7"/>
  <c r="C73" i="7"/>
  <c r="B73" i="7"/>
  <c r="D72" i="7"/>
  <c r="C72" i="7"/>
  <c r="B72" i="7"/>
  <c r="D71" i="7"/>
  <c r="C71" i="7"/>
  <c r="B71" i="7"/>
  <c r="D70" i="7"/>
  <c r="C70" i="7"/>
  <c r="B70" i="7"/>
  <c r="D69" i="7"/>
  <c r="C69" i="7"/>
  <c r="B69" i="7"/>
  <c r="D68" i="7"/>
  <c r="C68" i="7"/>
  <c r="B68" i="7"/>
  <c r="D67" i="7"/>
  <c r="C67" i="7"/>
  <c r="B67" i="7"/>
  <c r="D66" i="7"/>
  <c r="C66" i="7"/>
  <c r="B66" i="7"/>
  <c r="D65" i="7"/>
  <c r="C65" i="7"/>
  <c r="B65" i="7"/>
  <c r="D64" i="7"/>
  <c r="C64" i="7"/>
  <c r="B64" i="7"/>
  <c r="D63" i="7"/>
  <c r="C63" i="7"/>
  <c r="B63" i="7"/>
  <c r="D62" i="7"/>
  <c r="C62" i="7"/>
  <c r="B62" i="7"/>
  <c r="D61" i="7"/>
  <c r="C61" i="7"/>
  <c r="B61" i="7"/>
  <c r="D60" i="7"/>
  <c r="C60" i="7"/>
  <c r="B60" i="7"/>
  <c r="D59" i="7"/>
  <c r="C59" i="7"/>
  <c r="B59" i="7"/>
  <c r="D58" i="7"/>
  <c r="C58" i="7"/>
  <c r="B58" i="7"/>
  <c r="D57" i="7"/>
  <c r="C57" i="7"/>
  <c r="B57" i="7"/>
  <c r="D56" i="7"/>
  <c r="C56" i="7"/>
  <c r="B56" i="7"/>
  <c r="D55" i="7"/>
  <c r="C55" i="7"/>
  <c r="B55" i="7"/>
  <c r="D54" i="7"/>
  <c r="C54" i="7"/>
  <c r="B54" i="7"/>
  <c r="D53" i="7"/>
  <c r="C53" i="7"/>
  <c r="B53" i="7"/>
  <c r="D52" i="7"/>
  <c r="C52" i="7"/>
  <c r="B52" i="7"/>
  <c r="D51" i="7"/>
  <c r="C51" i="7"/>
  <c r="B51" i="7"/>
  <c r="D50" i="7"/>
  <c r="C50" i="7"/>
  <c r="B50" i="7"/>
  <c r="D49" i="7"/>
  <c r="C49" i="7"/>
  <c r="B49" i="7"/>
  <c r="D48" i="7"/>
  <c r="C48" i="7"/>
  <c r="B48" i="7"/>
  <c r="D47" i="7"/>
  <c r="C47" i="7"/>
  <c r="B47" i="7"/>
  <c r="D46" i="7"/>
  <c r="C46" i="7"/>
  <c r="B46" i="7"/>
  <c r="D45" i="7"/>
  <c r="C45" i="7"/>
  <c r="B45" i="7"/>
  <c r="D44" i="7"/>
  <c r="C44" i="7"/>
  <c r="B44" i="7"/>
  <c r="D43" i="7"/>
  <c r="C43" i="7"/>
  <c r="B43" i="7"/>
  <c r="D42" i="7"/>
  <c r="C42" i="7"/>
  <c r="B42" i="7"/>
  <c r="D41" i="7"/>
  <c r="C41" i="7"/>
  <c r="B41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B36" i="7"/>
  <c r="D35" i="7"/>
  <c r="C35" i="7"/>
  <c r="B35" i="7"/>
  <c r="D34" i="7"/>
  <c r="C34" i="7"/>
  <c r="B34" i="7"/>
  <c r="D33" i="7"/>
  <c r="C33" i="7"/>
  <c r="B33" i="7"/>
  <c r="D32" i="7"/>
  <c r="C32" i="7"/>
  <c r="B32" i="7"/>
  <c r="D31" i="7"/>
  <c r="C31" i="7"/>
  <c r="B31" i="7"/>
  <c r="D30" i="7"/>
  <c r="C30" i="7"/>
  <c r="B30" i="7"/>
  <c r="D29" i="7"/>
  <c r="C29" i="7"/>
  <c r="B29" i="7"/>
  <c r="D28" i="7"/>
  <c r="C28" i="7"/>
  <c r="B28" i="7"/>
  <c r="D27" i="7"/>
  <c r="C27" i="7"/>
  <c r="B27" i="7"/>
  <c r="D26" i="7"/>
  <c r="C26" i="7"/>
  <c r="B26" i="7"/>
  <c r="D25" i="7"/>
  <c r="C25" i="7"/>
  <c r="B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D5" i="7"/>
  <c r="C5" i="7"/>
  <c r="B5" i="7"/>
  <c r="D204" i="6"/>
  <c r="C204" i="6"/>
  <c r="B204" i="6"/>
  <c r="D203" i="6"/>
  <c r="C203" i="6"/>
  <c r="B203" i="6"/>
  <c r="D202" i="6"/>
  <c r="C202" i="6"/>
  <c r="B202" i="6"/>
  <c r="D201" i="6"/>
  <c r="C201" i="6"/>
  <c r="B201" i="6"/>
  <c r="D200" i="6"/>
  <c r="C200" i="6"/>
  <c r="B200" i="6"/>
  <c r="D199" i="6"/>
  <c r="C199" i="6"/>
  <c r="B199" i="6"/>
  <c r="D198" i="6"/>
  <c r="C198" i="6"/>
  <c r="B198" i="6"/>
  <c r="D197" i="6"/>
  <c r="C197" i="6"/>
  <c r="B197" i="6"/>
  <c r="D196" i="6"/>
  <c r="C196" i="6"/>
  <c r="B196" i="6"/>
  <c r="D195" i="6"/>
  <c r="C195" i="6"/>
  <c r="B195" i="6"/>
  <c r="D194" i="6"/>
  <c r="C194" i="6"/>
  <c r="B194" i="6"/>
  <c r="D193" i="6"/>
  <c r="C193" i="6"/>
  <c r="B193" i="6"/>
  <c r="D192" i="6"/>
  <c r="C192" i="6"/>
  <c r="B192" i="6"/>
  <c r="D191" i="6"/>
  <c r="C191" i="6"/>
  <c r="B191" i="6"/>
  <c r="D190" i="6"/>
  <c r="C190" i="6"/>
  <c r="B190" i="6"/>
  <c r="D189" i="6"/>
  <c r="C189" i="6"/>
  <c r="B189" i="6"/>
  <c r="D188" i="6"/>
  <c r="C188" i="6"/>
  <c r="B188" i="6"/>
  <c r="D187" i="6"/>
  <c r="C187" i="6"/>
  <c r="B187" i="6"/>
  <c r="D186" i="6"/>
  <c r="C186" i="6"/>
  <c r="B186" i="6"/>
  <c r="D185" i="6"/>
  <c r="C185" i="6"/>
  <c r="B185" i="6"/>
  <c r="D184" i="6"/>
  <c r="C184" i="6"/>
  <c r="B184" i="6"/>
  <c r="D183" i="6"/>
  <c r="C183" i="6"/>
  <c r="B183" i="6"/>
  <c r="D182" i="6"/>
  <c r="C182" i="6"/>
  <c r="B182" i="6"/>
  <c r="D181" i="6"/>
  <c r="C181" i="6"/>
  <c r="B181" i="6"/>
  <c r="D180" i="6"/>
  <c r="C180" i="6"/>
  <c r="B180" i="6"/>
  <c r="D179" i="6"/>
  <c r="C179" i="6"/>
  <c r="B179" i="6"/>
  <c r="D178" i="6"/>
  <c r="C178" i="6"/>
  <c r="B178" i="6"/>
  <c r="D177" i="6"/>
  <c r="C177" i="6"/>
  <c r="B177" i="6"/>
  <c r="D176" i="6"/>
  <c r="C176" i="6"/>
  <c r="B176" i="6"/>
  <c r="D175" i="6"/>
  <c r="C175" i="6"/>
  <c r="B175" i="6"/>
  <c r="D174" i="6"/>
  <c r="C174" i="6"/>
  <c r="B174" i="6"/>
  <c r="D173" i="6"/>
  <c r="C173" i="6"/>
  <c r="B173" i="6"/>
  <c r="D172" i="6"/>
  <c r="C172" i="6"/>
  <c r="B172" i="6"/>
  <c r="D171" i="6"/>
  <c r="C171" i="6"/>
  <c r="B171" i="6"/>
  <c r="D170" i="6"/>
  <c r="C170" i="6"/>
  <c r="B170" i="6"/>
  <c r="D169" i="6"/>
  <c r="C169" i="6"/>
  <c r="B169" i="6"/>
  <c r="D168" i="6"/>
  <c r="C168" i="6"/>
  <c r="B168" i="6"/>
  <c r="D167" i="6"/>
  <c r="C167" i="6"/>
  <c r="B167" i="6"/>
  <c r="D166" i="6"/>
  <c r="C166" i="6"/>
  <c r="B166" i="6"/>
  <c r="D165" i="6"/>
  <c r="C165" i="6"/>
  <c r="B165" i="6"/>
  <c r="D164" i="6"/>
  <c r="C164" i="6"/>
  <c r="B164" i="6"/>
  <c r="D163" i="6"/>
  <c r="C163" i="6"/>
  <c r="B163" i="6"/>
  <c r="D162" i="6"/>
  <c r="C162" i="6"/>
  <c r="B162" i="6"/>
  <c r="D161" i="6"/>
  <c r="C161" i="6"/>
  <c r="B161" i="6"/>
  <c r="D160" i="6"/>
  <c r="C160" i="6"/>
  <c r="B160" i="6"/>
  <c r="D159" i="6"/>
  <c r="C159" i="6"/>
  <c r="B159" i="6"/>
  <c r="D158" i="6"/>
  <c r="C158" i="6"/>
  <c r="B158" i="6"/>
  <c r="D157" i="6"/>
  <c r="C157" i="6"/>
  <c r="B157" i="6"/>
  <c r="D156" i="6"/>
  <c r="C156" i="6"/>
  <c r="B156" i="6"/>
  <c r="D155" i="6"/>
  <c r="C155" i="6"/>
  <c r="B155" i="6"/>
  <c r="D154" i="6"/>
  <c r="C154" i="6"/>
  <c r="B154" i="6"/>
  <c r="D153" i="6"/>
  <c r="C153" i="6"/>
  <c r="B153" i="6"/>
  <c r="D152" i="6"/>
  <c r="C152" i="6"/>
  <c r="B152" i="6"/>
  <c r="D151" i="6"/>
  <c r="C151" i="6"/>
  <c r="B151" i="6"/>
  <c r="D150" i="6"/>
  <c r="C150" i="6"/>
  <c r="B150" i="6"/>
  <c r="D149" i="6"/>
  <c r="C149" i="6"/>
  <c r="B149" i="6"/>
  <c r="D148" i="6"/>
  <c r="C148" i="6"/>
  <c r="B148" i="6"/>
  <c r="D147" i="6"/>
  <c r="C147" i="6"/>
  <c r="B147" i="6"/>
  <c r="D146" i="6"/>
  <c r="C146" i="6"/>
  <c r="B146" i="6"/>
  <c r="D145" i="6"/>
  <c r="C145" i="6"/>
  <c r="B145" i="6"/>
  <c r="D144" i="6"/>
  <c r="C144" i="6"/>
  <c r="B144" i="6"/>
  <c r="D143" i="6"/>
  <c r="C143" i="6"/>
  <c r="B143" i="6"/>
  <c r="D142" i="6"/>
  <c r="C142" i="6"/>
  <c r="B142" i="6"/>
  <c r="D141" i="6"/>
  <c r="C141" i="6"/>
  <c r="B141" i="6"/>
  <c r="D140" i="6"/>
  <c r="C140" i="6"/>
  <c r="B140" i="6"/>
  <c r="D139" i="6"/>
  <c r="C139" i="6"/>
  <c r="B139" i="6"/>
  <c r="D138" i="6"/>
  <c r="C138" i="6"/>
  <c r="B138" i="6"/>
  <c r="D137" i="6"/>
  <c r="C137" i="6"/>
  <c r="B137" i="6"/>
  <c r="D136" i="6"/>
  <c r="C136" i="6"/>
  <c r="B136" i="6"/>
  <c r="D135" i="6"/>
  <c r="C135" i="6"/>
  <c r="B135" i="6"/>
  <c r="D134" i="6"/>
  <c r="C134" i="6"/>
  <c r="B134" i="6"/>
  <c r="D133" i="6"/>
  <c r="C133" i="6"/>
  <c r="B133" i="6"/>
  <c r="D132" i="6"/>
  <c r="C132" i="6"/>
  <c r="B132" i="6"/>
  <c r="D131" i="6"/>
  <c r="C131" i="6"/>
  <c r="B131" i="6"/>
  <c r="D130" i="6"/>
  <c r="C130" i="6"/>
  <c r="B130" i="6"/>
  <c r="D129" i="6"/>
  <c r="C129" i="6"/>
  <c r="B129" i="6"/>
  <c r="D128" i="6"/>
  <c r="C128" i="6"/>
  <c r="B128" i="6"/>
  <c r="D127" i="6"/>
  <c r="C127" i="6"/>
  <c r="B127" i="6"/>
  <c r="D126" i="6"/>
  <c r="C126" i="6"/>
  <c r="B126" i="6"/>
  <c r="D125" i="6"/>
  <c r="C125" i="6"/>
  <c r="B125" i="6"/>
  <c r="D124" i="6"/>
  <c r="C124" i="6"/>
  <c r="B124" i="6"/>
  <c r="D123" i="6"/>
  <c r="C123" i="6"/>
  <c r="B123" i="6"/>
  <c r="D122" i="6"/>
  <c r="C122" i="6"/>
  <c r="B122" i="6"/>
  <c r="D121" i="6"/>
  <c r="C121" i="6"/>
  <c r="B121" i="6"/>
  <c r="D120" i="6"/>
  <c r="C120" i="6"/>
  <c r="B120" i="6"/>
  <c r="D119" i="6"/>
  <c r="C119" i="6"/>
  <c r="B119" i="6"/>
  <c r="D118" i="6"/>
  <c r="C118" i="6"/>
  <c r="B118" i="6"/>
  <c r="D117" i="6"/>
  <c r="C117" i="6"/>
  <c r="B117" i="6"/>
  <c r="D116" i="6"/>
  <c r="C116" i="6"/>
  <c r="B116" i="6"/>
  <c r="D115" i="6"/>
  <c r="C115" i="6"/>
  <c r="B115" i="6"/>
  <c r="D114" i="6"/>
  <c r="C114" i="6"/>
  <c r="B114" i="6"/>
  <c r="D113" i="6"/>
  <c r="C113" i="6"/>
  <c r="B113" i="6"/>
  <c r="D112" i="6"/>
  <c r="C112" i="6"/>
  <c r="B112" i="6"/>
  <c r="D111" i="6"/>
  <c r="C111" i="6"/>
  <c r="B111" i="6"/>
  <c r="D110" i="6"/>
  <c r="C110" i="6"/>
  <c r="B110" i="6"/>
  <c r="D109" i="6"/>
  <c r="C109" i="6"/>
  <c r="B109" i="6"/>
  <c r="D108" i="6"/>
  <c r="C108" i="6"/>
  <c r="B108" i="6"/>
  <c r="D107" i="6"/>
  <c r="C107" i="6"/>
  <c r="B107" i="6"/>
  <c r="D106" i="6"/>
  <c r="C106" i="6"/>
  <c r="B106" i="6"/>
  <c r="D105" i="6"/>
  <c r="C105" i="6"/>
  <c r="B105" i="6"/>
  <c r="D104" i="6"/>
  <c r="C104" i="6"/>
  <c r="B104" i="6"/>
  <c r="D103" i="6"/>
  <c r="C103" i="6"/>
  <c r="B103" i="6"/>
  <c r="D102" i="6"/>
  <c r="C102" i="6"/>
  <c r="B102" i="6"/>
  <c r="D101" i="6"/>
  <c r="C101" i="6"/>
  <c r="B101" i="6"/>
  <c r="D100" i="6"/>
  <c r="C100" i="6"/>
  <c r="B100" i="6"/>
  <c r="D99" i="6"/>
  <c r="C99" i="6"/>
  <c r="B99" i="6"/>
  <c r="D98" i="6"/>
  <c r="C98" i="6"/>
  <c r="B98" i="6"/>
  <c r="D97" i="6"/>
  <c r="C97" i="6"/>
  <c r="B97" i="6"/>
  <c r="D96" i="6"/>
  <c r="C96" i="6"/>
  <c r="B96" i="6"/>
  <c r="D95" i="6"/>
  <c r="C95" i="6"/>
  <c r="B95" i="6"/>
  <c r="D94" i="6"/>
  <c r="C94" i="6"/>
  <c r="B94" i="6"/>
  <c r="D93" i="6"/>
  <c r="C93" i="6"/>
  <c r="B93" i="6"/>
  <c r="D92" i="6"/>
  <c r="C92" i="6"/>
  <c r="B92" i="6"/>
  <c r="D91" i="6"/>
  <c r="C91" i="6"/>
  <c r="B91" i="6"/>
  <c r="D90" i="6"/>
  <c r="C90" i="6"/>
  <c r="B90" i="6"/>
  <c r="D89" i="6"/>
  <c r="C89" i="6"/>
  <c r="B89" i="6"/>
  <c r="D88" i="6"/>
  <c r="C88" i="6"/>
  <c r="B88" i="6"/>
  <c r="D87" i="6"/>
  <c r="C87" i="6"/>
  <c r="B87" i="6"/>
  <c r="D86" i="6"/>
  <c r="C86" i="6"/>
  <c r="B86" i="6"/>
  <c r="D85" i="6"/>
  <c r="C85" i="6"/>
  <c r="B85" i="6"/>
  <c r="D84" i="6"/>
  <c r="C84" i="6"/>
  <c r="B84" i="6"/>
  <c r="D83" i="6"/>
  <c r="C83" i="6"/>
  <c r="B83" i="6"/>
  <c r="D82" i="6"/>
  <c r="C82" i="6"/>
  <c r="B82" i="6"/>
  <c r="D81" i="6"/>
  <c r="C81" i="6"/>
  <c r="B81" i="6"/>
  <c r="D80" i="6"/>
  <c r="C80" i="6"/>
  <c r="B80" i="6"/>
  <c r="D79" i="6"/>
  <c r="C79" i="6"/>
  <c r="B79" i="6"/>
  <c r="D78" i="6"/>
  <c r="C78" i="6"/>
  <c r="B78" i="6"/>
  <c r="D77" i="6"/>
  <c r="C77" i="6"/>
  <c r="B77" i="6"/>
  <c r="D76" i="6"/>
  <c r="C76" i="6"/>
  <c r="B76" i="6"/>
  <c r="D75" i="6"/>
  <c r="C75" i="6"/>
  <c r="B75" i="6"/>
  <c r="D74" i="6"/>
  <c r="C74" i="6"/>
  <c r="B74" i="6"/>
  <c r="D73" i="6"/>
  <c r="C73" i="6"/>
  <c r="B73" i="6"/>
  <c r="D72" i="6"/>
  <c r="C72" i="6"/>
  <c r="B72" i="6"/>
  <c r="D71" i="6"/>
  <c r="C71" i="6"/>
  <c r="B71" i="6"/>
  <c r="D70" i="6"/>
  <c r="C70" i="6"/>
  <c r="B70" i="6"/>
  <c r="D69" i="6"/>
  <c r="C69" i="6"/>
  <c r="B69" i="6"/>
  <c r="D68" i="6"/>
  <c r="C68" i="6"/>
  <c r="B68" i="6"/>
  <c r="D67" i="6"/>
  <c r="C67" i="6"/>
  <c r="B67" i="6"/>
  <c r="D66" i="6"/>
  <c r="C66" i="6"/>
  <c r="B66" i="6"/>
  <c r="D65" i="6"/>
  <c r="C65" i="6"/>
  <c r="B65" i="6"/>
  <c r="D64" i="6"/>
  <c r="C64" i="6"/>
  <c r="B64" i="6"/>
  <c r="D63" i="6"/>
  <c r="C63" i="6"/>
  <c r="B63" i="6"/>
  <c r="D62" i="6"/>
  <c r="C62" i="6"/>
  <c r="B62" i="6"/>
  <c r="D61" i="6"/>
  <c r="C61" i="6"/>
  <c r="B61" i="6"/>
  <c r="D60" i="6"/>
  <c r="C60" i="6"/>
  <c r="B60" i="6"/>
  <c r="D59" i="6"/>
  <c r="C59" i="6"/>
  <c r="B59" i="6"/>
  <c r="D58" i="6"/>
  <c r="C58" i="6"/>
  <c r="B58" i="6"/>
  <c r="D57" i="6"/>
  <c r="C57" i="6"/>
  <c r="B57" i="6"/>
  <c r="D56" i="6"/>
  <c r="C56" i="6"/>
  <c r="B56" i="6"/>
  <c r="D55" i="6"/>
  <c r="C55" i="6"/>
  <c r="B55" i="6"/>
  <c r="D54" i="6"/>
  <c r="C54" i="6"/>
  <c r="B54" i="6"/>
  <c r="D53" i="6"/>
  <c r="C53" i="6"/>
  <c r="B53" i="6"/>
  <c r="D52" i="6"/>
  <c r="C52" i="6"/>
  <c r="B52" i="6"/>
  <c r="D51" i="6"/>
  <c r="C51" i="6"/>
  <c r="B51" i="6"/>
  <c r="D50" i="6"/>
  <c r="C50" i="6"/>
  <c r="B50" i="6"/>
  <c r="D49" i="6"/>
  <c r="C49" i="6"/>
  <c r="B49" i="6"/>
  <c r="D48" i="6"/>
  <c r="C48" i="6"/>
  <c r="B48" i="6"/>
  <c r="D47" i="6"/>
  <c r="C47" i="6"/>
  <c r="B47" i="6"/>
  <c r="D46" i="6"/>
  <c r="C46" i="6"/>
  <c r="B46" i="6"/>
  <c r="D45" i="6"/>
  <c r="C45" i="6"/>
  <c r="B45" i="6"/>
  <c r="D44" i="6"/>
  <c r="C44" i="6"/>
  <c r="B44" i="6"/>
  <c r="D43" i="6"/>
  <c r="C43" i="6"/>
  <c r="B43" i="6"/>
  <c r="D42" i="6"/>
  <c r="C42" i="6"/>
  <c r="B42" i="6"/>
  <c r="D41" i="6"/>
  <c r="C41" i="6"/>
  <c r="B41" i="6"/>
  <c r="D40" i="6"/>
  <c r="C40" i="6"/>
  <c r="B40" i="6"/>
  <c r="D39" i="6"/>
  <c r="C39" i="6"/>
  <c r="B39" i="6"/>
  <c r="D38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D204" i="5"/>
  <c r="C204" i="5"/>
  <c r="B204" i="5"/>
  <c r="D203" i="5"/>
  <c r="C203" i="5"/>
  <c r="B203" i="5"/>
  <c r="D202" i="5"/>
  <c r="C202" i="5"/>
  <c r="B202" i="5"/>
  <c r="D201" i="5"/>
  <c r="C201" i="5"/>
  <c r="B201" i="5"/>
  <c r="D200" i="5"/>
  <c r="C200" i="5"/>
  <c r="B200" i="5"/>
  <c r="D199" i="5"/>
  <c r="C199" i="5"/>
  <c r="B199" i="5"/>
  <c r="D198" i="5"/>
  <c r="C198" i="5"/>
  <c r="B198" i="5"/>
  <c r="D197" i="5"/>
  <c r="C197" i="5"/>
  <c r="B197" i="5"/>
  <c r="D196" i="5"/>
  <c r="C196" i="5"/>
  <c r="B196" i="5"/>
  <c r="D195" i="5"/>
  <c r="C195" i="5"/>
  <c r="B195" i="5"/>
  <c r="D194" i="5"/>
  <c r="C194" i="5"/>
  <c r="B194" i="5"/>
  <c r="D193" i="5"/>
  <c r="C193" i="5"/>
  <c r="B193" i="5"/>
  <c r="D192" i="5"/>
  <c r="C192" i="5"/>
  <c r="B192" i="5"/>
  <c r="D191" i="5"/>
  <c r="C191" i="5"/>
  <c r="B191" i="5"/>
  <c r="D190" i="5"/>
  <c r="C190" i="5"/>
  <c r="B190" i="5"/>
  <c r="D189" i="5"/>
  <c r="C189" i="5"/>
  <c r="B189" i="5"/>
  <c r="D188" i="5"/>
  <c r="C188" i="5"/>
  <c r="B188" i="5"/>
  <c r="D187" i="5"/>
  <c r="C187" i="5"/>
  <c r="B187" i="5"/>
  <c r="D186" i="5"/>
  <c r="C186" i="5"/>
  <c r="B186" i="5"/>
  <c r="D185" i="5"/>
  <c r="C185" i="5"/>
  <c r="B185" i="5"/>
  <c r="D184" i="5"/>
  <c r="C184" i="5"/>
  <c r="B184" i="5"/>
  <c r="D183" i="5"/>
  <c r="C183" i="5"/>
  <c r="B183" i="5"/>
  <c r="D182" i="5"/>
  <c r="C182" i="5"/>
  <c r="B182" i="5"/>
  <c r="D181" i="5"/>
  <c r="C181" i="5"/>
  <c r="B181" i="5"/>
  <c r="D180" i="5"/>
  <c r="C180" i="5"/>
  <c r="B180" i="5"/>
  <c r="D179" i="5"/>
  <c r="C179" i="5"/>
  <c r="B179" i="5"/>
  <c r="D178" i="5"/>
  <c r="C178" i="5"/>
  <c r="B178" i="5"/>
  <c r="D177" i="5"/>
  <c r="C177" i="5"/>
  <c r="B177" i="5"/>
  <c r="D176" i="5"/>
  <c r="C176" i="5"/>
  <c r="B176" i="5"/>
  <c r="D175" i="5"/>
  <c r="C175" i="5"/>
  <c r="B175" i="5"/>
  <c r="D174" i="5"/>
  <c r="C174" i="5"/>
  <c r="B174" i="5"/>
  <c r="D173" i="5"/>
  <c r="C173" i="5"/>
  <c r="B173" i="5"/>
  <c r="D172" i="5"/>
  <c r="C172" i="5"/>
  <c r="B172" i="5"/>
  <c r="D171" i="5"/>
  <c r="C171" i="5"/>
  <c r="B171" i="5"/>
  <c r="D170" i="5"/>
  <c r="C170" i="5"/>
  <c r="B170" i="5"/>
  <c r="D169" i="5"/>
  <c r="C169" i="5"/>
  <c r="B169" i="5"/>
  <c r="D168" i="5"/>
  <c r="C168" i="5"/>
  <c r="B168" i="5"/>
  <c r="D167" i="5"/>
  <c r="C167" i="5"/>
  <c r="B167" i="5"/>
  <c r="D166" i="5"/>
  <c r="C166" i="5"/>
  <c r="B166" i="5"/>
  <c r="D165" i="5"/>
  <c r="C165" i="5"/>
  <c r="B165" i="5"/>
  <c r="D164" i="5"/>
  <c r="C164" i="5"/>
  <c r="B164" i="5"/>
  <c r="D163" i="5"/>
  <c r="C163" i="5"/>
  <c r="B163" i="5"/>
  <c r="D162" i="5"/>
  <c r="C162" i="5"/>
  <c r="B162" i="5"/>
  <c r="D161" i="5"/>
  <c r="C161" i="5"/>
  <c r="B161" i="5"/>
  <c r="D160" i="5"/>
  <c r="C160" i="5"/>
  <c r="B160" i="5"/>
  <c r="D159" i="5"/>
  <c r="C159" i="5"/>
  <c r="B159" i="5"/>
  <c r="D158" i="5"/>
  <c r="C158" i="5"/>
  <c r="B158" i="5"/>
  <c r="D157" i="5"/>
  <c r="C157" i="5"/>
  <c r="B157" i="5"/>
  <c r="D156" i="5"/>
  <c r="C156" i="5"/>
  <c r="B156" i="5"/>
  <c r="D155" i="5"/>
  <c r="C155" i="5"/>
  <c r="B155" i="5"/>
  <c r="D154" i="5"/>
  <c r="C154" i="5"/>
  <c r="B154" i="5"/>
  <c r="D153" i="5"/>
  <c r="C153" i="5"/>
  <c r="B153" i="5"/>
  <c r="D152" i="5"/>
  <c r="C152" i="5"/>
  <c r="B152" i="5"/>
  <c r="D151" i="5"/>
  <c r="C151" i="5"/>
  <c r="B151" i="5"/>
  <c r="D150" i="5"/>
  <c r="C150" i="5"/>
  <c r="B150" i="5"/>
  <c r="D149" i="5"/>
  <c r="C149" i="5"/>
  <c r="B149" i="5"/>
  <c r="D148" i="5"/>
  <c r="C148" i="5"/>
  <c r="B148" i="5"/>
  <c r="D147" i="5"/>
  <c r="C147" i="5"/>
  <c r="B147" i="5"/>
  <c r="D146" i="5"/>
  <c r="C146" i="5"/>
  <c r="B146" i="5"/>
  <c r="D145" i="5"/>
  <c r="C145" i="5"/>
  <c r="B145" i="5"/>
  <c r="D144" i="5"/>
  <c r="C144" i="5"/>
  <c r="B144" i="5"/>
  <c r="D143" i="5"/>
  <c r="C143" i="5"/>
  <c r="B143" i="5"/>
  <c r="D142" i="5"/>
  <c r="C142" i="5"/>
  <c r="B142" i="5"/>
  <c r="D141" i="5"/>
  <c r="C141" i="5"/>
  <c r="B141" i="5"/>
  <c r="D140" i="5"/>
  <c r="C140" i="5"/>
  <c r="B140" i="5"/>
  <c r="D139" i="5"/>
  <c r="C139" i="5"/>
  <c r="B139" i="5"/>
  <c r="D138" i="5"/>
  <c r="C138" i="5"/>
  <c r="B138" i="5"/>
  <c r="D137" i="5"/>
  <c r="C137" i="5"/>
  <c r="B137" i="5"/>
  <c r="D136" i="5"/>
  <c r="C136" i="5"/>
  <c r="B136" i="5"/>
  <c r="D135" i="5"/>
  <c r="C135" i="5"/>
  <c r="B135" i="5"/>
  <c r="D134" i="5"/>
  <c r="C134" i="5"/>
  <c r="B134" i="5"/>
  <c r="D133" i="5"/>
  <c r="C133" i="5"/>
  <c r="B133" i="5"/>
  <c r="D132" i="5"/>
  <c r="C132" i="5"/>
  <c r="B132" i="5"/>
  <c r="D131" i="5"/>
  <c r="C131" i="5"/>
  <c r="B131" i="5"/>
  <c r="D130" i="5"/>
  <c r="C130" i="5"/>
  <c r="B130" i="5"/>
  <c r="D129" i="5"/>
  <c r="C129" i="5"/>
  <c r="B129" i="5"/>
  <c r="D128" i="5"/>
  <c r="C128" i="5"/>
  <c r="B128" i="5"/>
  <c r="D127" i="5"/>
  <c r="C127" i="5"/>
  <c r="B127" i="5"/>
  <c r="D126" i="5"/>
  <c r="C126" i="5"/>
  <c r="B126" i="5"/>
  <c r="D125" i="5"/>
  <c r="C125" i="5"/>
  <c r="B125" i="5"/>
  <c r="D124" i="5"/>
  <c r="C124" i="5"/>
  <c r="B124" i="5"/>
  <c r="D123" i="5"/>
  <c r="C123" i="5"/>
  <c r="B123" i="5"/>
  <c r="D122" i="5"/>
  <c r="C122" i="5"/>
  <c r="B122" i="5"/>
  <c r="D121" i="5"/>
  <c r="C121" i="5"/>
  <c r="B121" i="5"/>
  <c r="D120" i="5"/>
  <c r="C120" i="5"/>
  <c r="B120" i="5"/>
  <c r="D119" i="5"/>
  <c r="C119" i="5"/>
  <c r="B119" i="5"/>
  <c r="D118" i="5"/>
  <c r="C118" i="5"/>
  <c r="B118" i="5"/>
  <c r="D117" i="5"/>
  <c r="C117" i="5"/>
  <c r="B117" i="5"/>
  <c r="D116" i="5"/>
  <c r="C116" i="5"/>
  <c r="B116" i="5"/>
  <c r="D115" i="5"/>
  <c r="C115" i="5"/>
  <c r="B115" i="5"/>
  <c r="D114" i="5"/>
  <c r="C114" i="5"/>
  <c r="B114" i="5"/>
  <c r="D113" i="5"/>
  <c r="C113" i="5"/>
  <c r="B113" i="5"/>
  <c r="D112" i="5"/>
  <c r="C112" i="5"/>
  <c r="B112" i="5"/>
  <c r="D111" i="5"/>
  <c r="C111" i="5"/>
  <c r="B111" i="5"/>
  <c r="D110" i="5"/>
  <c r="C110" i="5"/>
  <c r="B110" i="5"/>
  <c r="D109" i="5"/>
  <c r="C109" i="5"/>
  <c r="B109" i="5"/>
  <c r="D108" i="5"/>
  <c r="C108" i="5"/>
  <c r="B108" i="5"/>
  <c r="D107" i="5"/>
  <c r="C107" i="5"/>
  <c r="B107" i="5"/>
  <c r="D106" i="5"/>
  <c r="C106" i="5"/>
  <c r="B106" i="5"/>
  <c r="D105" i="5"/>
  <c r="C105" i="5"/>
  <c r="B105" i="5"/>
  <c r="D104" i="5"/>
  <c r="C104" i="5"/>
  <c r="B104" i="5"/>
  <c r="D103" i="5"/>
  <c r="C103" i="5"/>
  <c r="B103" i="5"/>
  <c r="D102" i="5"/>
  <c r="C102" i="5"/>
  <c r="B102" i="5"/>
  <c r="D101" i="5"/>
  <c r="C101" i="5"/>
  <c r="B101" i="5"/>
  <c r="D100" i="5"/>
  <c r="C100" i="5"/>
  <c r="B100" i="5"/>
  <c r="D99" i="5"/>
  <c r="C99" i="5"/>
  <c r="B99" i="5"/>
  <c r="D98" i="5"/>
  <c r="C98" i="5"/>
  <c r="B98" i="5"/>
  <c r="D97" i="5"/>
  <c r="C97" i="5"/>
  <c r="B97" i="5"/>
  <c r="D96" i="5"/>
  <c r="C96" i="5"/>
  <c r="B96" i="5"/>
  <c r="D95" i="5"/>
  <c r="C95" i="5"/>
  <c r="B95" i="5"/>
  <c r="D94" i="5"/>
  <c r="C94" i="5"/>
  <c r="B94" i="5"/>
  <c r="D93" i="5"/>
  <c r="C93" i="5"/>
  <c r="B93" i="5"/>
  <c r="D92" i="5"/>
  <c r="C92" i="5"/>
  <c r="B92" i="5"/>
  <c r="D91" i="5"/>
  <c r="C91" i="5"/>
  <c r="B91" i="5"/>
  <c r="D90" i="5"/>
  <c r="C90" i="5"/>
  <c r="B90" i="5"/>
  <c r="D89" i="5"/>
  <c r="C89" i="5"/>
  <c r="B89" i="5"/>
  <c r="D88" i="5"/>
  <c r="C88" i="5"/>
  <c r="B88" i="5"/>
  <c r="D87" i="5"/>
  <c r="C87" i="5"/>
  <c r="B87" i="5"/>
  <c r="D86" i="5"/>
  <c r="C86" i="5"/>
  <c r="B86" i="5"/>
  <c r="D85" i="5"/>
  <c r="C85" i="5"/>
  <c r="B85" i="5"/>
  <c r="D84" i="5"/>
  <c r="C84" i="5"/>
  <c r="B84" i="5"/>
  <c r="D83" i="5"/>
  <c r="C83" i="5"/>
  <c r="B83" i="5"/>
  <c r="D82" i="5"/>
  <c r="C82" i="5"/>
  <c r="B82" i="5"/>
  <c r="D81" i="5"/>
  <c r="C81" i="5"/>
  <c r="B81" i="5"/>
  <c r="D80" i="5"/>
  <c r="C80" i="5"/>
  <c r="B80" i="5"/>
  <c r="D79" i="5"/>
  <c r="C79" i="5"/>
  <c r="B79" i="5"/>
  <c r="D78" i="5"/>
  <c r="C78" i="5"/>
  <c r="B78" i="5"/>
  <c r="D77" i="5"/>
  <c r="C77" i="5"/>
  <c r="B77" i="5"/>
  <c r="D76" i="5"/>
  <c r="C76" i="5"/>
  <c r="B76" i="5"/>
  <c r="D75" i="5"/>
  <c r="C75" i="5"/>
  <c r="B75" i="5"/>
  <c r="D74" i="5"/>
  <c r="C74" i="5"/>
  <c r="B74" i="5"/>
  <c r="D73" i="5"/>
  <c r="C73" i="5"/>
  <c r="B73" i="5"/>
  <c r="D72" i="5"/>
  <c r="C72" i="5"/>
  <c r="B72" i="5"/>
  <c r="D71" i="5"/>
  <c r="C71" i="5"/>
  <c r="B71" i="5"/>
  <c r="D70" i="5"/>
  <c r="C70" i="5"/>
  <c r="B70" i="5"/>
  <c r="D69" i="5"/>
  <c r="C69" i="5"/>
  <c r="B69" i="5"/>
  <c r="D68" i="5"/>
  <c r="C68" i="5"/>
  <c r="B68" i="5"/>
  <c r="D67" i="5"/>
  <c r="C67" i="5"/>
  <c r="B67" i="5"/>
  <c r="D66" i="5"/>
  <c r="C66" i="5"/>
  <c r="B66" i="5"/>
  <c r="D65" i="5"/>
  <c r="C65" i="5"/>
  <c r="B65" i="5"/>
  <c r="D64" i="5"/>
  <c r="C64" i="5"/>
  <c r="B64" i="5"/>
  <c r="D63" i="5"/>
  <c r="C63" i="5"/>
  <c r="B63" i="5"/>
  <c r="D62" i="5"/>
  <c r="C62" i="5"/>
  <c r="B62" i="5"/>
  <c r="D61" i="5"/>
  <c r="C61" i="5"/>
  <c r="B61" i="5"/>
  <c r="D60" i="5"/>
  <c r="C60" i="5"/>
  <c r="B60" i="5"/>
  <c r="D59" i="5"/>
  <c r="C59" i="5"/>
  <c r="B59" i="5"/>
  <c r="D58" i="5"/>
  <c r="C58" i="5"/>
  <c r="B58" i="5"/>
  <c r="D57" i="5"/>
  <c r="C57" i="5"/>
  <c r="B57" i="5"/>
  <c r="D56" i="5"/>
  <c r="C56" i="5"/>
  <c r="B56" i="5"/>
  <c r="D55" i="5"/>
  <c r="C55" i="5"/>
  <c r="B55" i="5"/>
  <c r="D54" i="5"/>
  <c r="C54" i="5"/>
  <c r="B54" i="5"/>
  <c r="D53" i="5"/>
  <c r="C53" i="5"/>
  <c r="B53" i="5"/>
  <c r="D52" i="5"/>
  <c r="C52" i="5"/>
  <c r="B52" i="5"/>
  <c r="D51" i="5"/>
  <c r="C51" i="5"/>
  <c r="B51" i="5"/>
  <c r="D50" i="5"/>
  <c r="C50" i="5"/>
  <c r="B50" i="5"/>
  <c r="D49" i="5"/>
  <c r="C49" i="5"/>
  <c r="B49" i="5"/>
  <c r="D48" i="5"/>
  <c r="C48" i="5"/>
  <c r="B48" i="5"/>
  <c r="D47" i="5"/>
  <c r="C47" i="5"/>
  <c r="B47" i="5"/>
  <c r="D46" i="5"/>
  <c r="C46" i="5"/>
  <c r="B46" i="5"/>
  <c r="D45" i="5"/>
  <c r="C45" i="5"/>
  <c r="B45" i="5"/>
  <c r="D44" i="5"/>
  <c r="C44" i="5"/>
  <c r="B44" i="5"/>
  <c r="D43" i="5"/>
  <c r="C43" i="5"/>
  <c r="B43" i="5"/>
  <c r="D42" i="5"/>
  <c r="C42" i="5"/>
  <c r="B42" i="5"/>
  <c r="D41" i="5"/>
  <c r="C41" i="5"/>
  <c r="B41" i="5"/>
  <c r="D40" i="5"/>
  <c r="C40" i="5"/>
  <c r="B40" i="5"/>
  <c r="D39" i="5"/>
  <c r="C39" i="5"/>
  <c r="B39" i="5"/>
  <c r="D38" i="5"/>
  <c r="C38" i="5"/>
  <c r="B38" i="5"/>
  <c r="D37" i="5"/>
  <c r="C37" i="5"/>
  <c r="B37" i="5"/>
  <c r="D36" i="5"/>
  <c r="C36" i="5"/>
  <c r="B36" i="5"/>
  <c r="D35" i="5"/>
  <c r="C35" i="5"/>
  <c r="B35" i="5"/>
  <c r="D34" i="5"/>
  <c r="C34" i="5"/>
  <c r="B34" i="5"/>
  <c r="D33" i="5"/>
  <c r="C33" i="5"/>
  <c r="B33" i="5"/>
  <c r="D32" i="5"/>
  <c r="C32" i="5"/>
  <c r="B32" i="5"/>
  <c r="D31" i="5"/>
  <c r="C31" i="5"/>
  <c r="B31" i="5"/>
  <c r="D30" i="5"/>
  <c r="C30" i="5"/>
  <c r="B30" i="5"/>
  <c r="D29" i="5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32" i="4"/>
  <c r="B32" i="4"/>
  <c r="D31" i="4"/>
  <c r="B31" i="4"/>
  <c r="D28" i="4"/>
  <c r="B28" i="4"/>
  <c r="D27" i="4"/>
  <c r="B27" i="4"/>
  <c r="D26" i="4"/>
  <c r="B26" i="4"/>
  <c r="D25" i="4"/>
  <c r="B25" i="4"/>
  <c r="B21" i="4"/>
  <c r="B20" i="4"/>
  <c r="D17" i="4"/>
  <c r="B17" i="4"/>
  <c r="D16" i="4"/>
  <c r="B16" i="4"/>
  <c r="D15" i="4"/>
  <c r="B15" i="4"/>
  <c r="D12" i="4"/>
  <c r="B12" i="4"/>
  <c r="D11" i="4"/>
  <c r="B11" i="4"/>
  <c r="D8" i="4"/>
  <c r="B8" i="4"/>
  <c r="D7" i="4"/>
  <c r="B7" i="4"/>
  <c r="D6" i="4"/>
  <c r="B6" i="4"/>
  <c r="W304" i="3"/>
  <c r="V304" i="3"/>
  <c r="U304" i="3"/>
  <c r="T304" i="3"/>
  <c r="V303" i="3"/>
  <c r="W303" i="3" s="1"/>
  <c r="U303" i="3"/>
  <c r="T303" i="3"/>
  <c r="V302" i="3"/>
  <c r="W302" i="3" s="1"/>
  <c r="U302" i="3"/>
  <c r="T302" i="3"/>
  <c r="V301" i="3"/>
  <c r="W301" i="3" s="1"/>
  <c r="U301" i="3"/>
  <c r="T301" i="3"/>
  <c r="V300" i="3"/>
  <c r="W300" i="3" s="1"/>
  <c r="U300" i="3"/>
  <c r="T300" i="3"/>
  <c r="V299" i="3"/>
  <c r="W299" i="3" s="1"/>
  <c r="U299" i="3"/>
  <c r="T299" i="3"/>
  <c r="V298" i="3"/>
  <c r="W298" i="3" s="1"/>
  <c r="U298" i="3"/>
  <c r="T298" i="3"/>
  <c r="V297" i="3"/>
  <c r="W297" i="3" s="1"/>
  <c r="U297" i="3"/>
  <c r="T297" i="3"/>
  <c r="V296" i="3"/>
  <c r="W296" i="3" s="1"/>
  <c r="U296" i="3"/>
  <c r="T296" i="3"/>
  <c r="V295" i="3"/>
  <c r="W295" i="3" s="1"/>
  <c r="U295" i="3"/>
  <c r="T295" i="3"/>
  <c r="V294" i="3"/>
  <c r="W294" i="3" s="1"/>
  <c r="U294" i="3"/>
  <c r="T294" i="3"/>
  <c r="V293" i="3"/>
  <c r="W293" i="3" s="1"/>
  <c r="U293" i="3"/>
  <c r="T293" i="3"/>
  <c r="V292" i="3"/>
  <c r="W292" i="3" s="1"/>
  <c r="U292" i="3"/>
  <c r="T292" i="3"/>
  <c r="V291" i="3"/>
  <c r="W291" i="3" s="1"/>
  <c r="U291" i="3"/>
  <c r="T291" i="3"/>
  <c r="V290" i="3"/>
  <c r="W290" i="3" s="1"/>
  <c r="U290" i="3"/>
  <c r="T290" i="3"/>
  <c r="V289" i="3"/>
  <c r="W289" i="3" s="1"/>
  <c r="U289" i="3"/>
  <c r="T289" i="3"/>
  <c r="W288" i="3"/>
  <c r="V288" i="3"/>
  <c r="U288" i="3"/>
  <c r="T288" i="3"/>
  <c r="V287" i="3"/>
  <c r="W287" i="3" s="1"/>
  <c r="U287" i="3"/>
  <c r="T287" i="3"/>
  <c r="V286" i="3"/>
  <c r="W286" i="3" s="1"/>
  <c r="U286" i="3"/>
  <c r="T286" i="3"/>
  <c r="V285" i="3"/>
  <c r="W285" i="3" s="1"/>
  <c r="U285" i="3"/>
  <c r="T285" i="3"/>
  <c r="V284" i="3"/>
  <c r="W284" i="3" s="1"/>
  <c r="U284" i="3"/>
  <c r="T284" i="3"/>
  <c r="V283" i="3"/>
  <c r="W283" i="3" s="1"/>
  <c r="U283" i="3"/>
  <c r="T283" i="3"/>
  <c r="V282" i="3"/>
  <c r="W282" i="3" s="1"/>
  <c r="U282" i="3"/>
  <c r="T282" i="3"/>
  <c r="V281" i="3"/>
  <c r="W281" i="3" s="1"/>
  <c r="U281" i="3"/>
  <c r="T281" i="3"/>
  <c r="V280" i="3"/>
  <c r="W280" i="3" s="1"/>
  <c r="U280" i="3"/>
  <c r="T280" i="3"/>
  <c r="V279" i="3"/>
  <c r="W279" i="3" s="1"/>
  <c r="U279" i="3"/>
  <c r="T279" i="3"/>
  <c r="V278" i="3"/>
  <c r="W278" i="3" s="1"/>
  <c r="U278" i="3"/>
  <c r="T278" i="3"/>
  <c r="V277" i="3"/>
  <c r="W277" i="3" s="1"/>
  <c r="U277" i="3"/>
  <c r="T277" i="3"/>
  <c r="V276" i="3"/>
  <c r="W276" i="3" s="1"/>
  <c r="U276" i="3"/>
  <c r="T276" i="3"/>
  <c r="V275" i="3"/>
  <c r="W275" i="3" s="1"/>
  <c r="U275" i="3"/>
  <c r="T275" i="3"/>
  <c r="V274" i="3"/>
  <c r="W274" i="3" s="1"/>
  <c r="U274" i="3"/>
  <c r="T274" i="3"/>
  <c r="V273" i="3"/>
  <c r="W273" i="3" s="1"/>
  <c r="U273" i="3"/>
  <c r="T273" i="3"/>
  <c r="V272" i="3"/>
  <c r="W272" i="3" s="1"/>
  <c r="U272" i="3"/>
  <c r="T272" i="3"/>
  <c r="V271" i="3"/>
  <c r="W271" i="3" s="1"/>
  <c r="U271" i="3"/>
  <c r="T271" i="3"/>
  <c r="V270" i="3"/>
  <c r="W270" i="3" s="1"/>
  <c r="U270" i="3"/>
  <c r="T270" i="3"/>
  <c r="V269" i="3"/>
  <c r="W269" i="3" s="1"/>
  <c r="U269" i="3"/>
  <c r="T269" i="3"/>
  <c r="V268" i="3"/>
  <c r="W268" i="3" s="1"/>
  <c r="U268" i="3"/>
  <c r="T268" i="3"/>
  <c r="V267" i="3"/>
  <c r="W267" i="3" s="1"/>
  <c r="U267" i="3"/>
  <c r="T267" i="3"/>
  <c r="V266" i="3"/>
  <c r="W266" i="3" s="1"/>
  <c r="U266" i="3"/>
  <c r="T266" i="3"/>
  <c r="V265" i="3"/>
  <c r="W265" i="3" s="1"/>
  <c r="U265" i="3"/>
  <c r="T265" i="3"/>
  <c r="V264" i="3"/>
  <c r="W264" i="3" s="1"/>
  <c r="U264" i="3"/>
  <c r="T264" i="3"/>
  <c r="V263" i="3"/>
  <c r="W263" i="3" s="1"/>
  <c r="U263" i="3"/>
  <c r="T263" i="3"/>
  <c r="V262" i="3"/>
  <c r="W262" i="3" s="1"/>
  <c r="U262" i="3"/>
  <c r="T262" i="3"/>
  <c r="V261" i="3"/>
  <c r="W261" i="3" s="1"/>
  <c r="U261" i="3"/>
  <c r="T261" i="3"/>
  <c r="V260" i="3"/>
  <c r="W260" i="3" s="1"/>
  <c r="U260" i="3"/>
  <c r="T260" i="3"/>
  <c r="V259" i="3"/>
  <c r="W259" i="3" s="1"/>
  <c r="U259" i="3"/>
  <c r="T259" i="3"/>
  <c r="V258" i="3"/>
  <c r="W258" i="3" s="1"/>
  <c r="U258" i="3"/>
  <c r="T258" i="3"/>
  <c r="V257" i="3"/>
  <c r="W257" i="3" s="1"/>
  <c r="U257" i="3"/>
  <c r="T257" i="3"/>
  <c r="W256" i="3"/>
  <c r="V256" i="3"/>
  <c r="U256" i="3"/>
  <c r="T256" i="3"/>
  <c r="V255" i="3"/>
  <c r="W255" i="3" s="1"/>
  <c r="U255" i="3"/>
  <c r="T255" i="3"/>
  <c r="V254" i="3"/>
  <c r="W254" i="3" s="1"/>
  <c r="U254" i="3"/>
  <c r="T254" i="3"/>
  <c r="V253" i="3"/>
  <c r="W253" i="3" s="1"/>
  <c r="U253" i="3"/>
  <c r="T253" i="3"/>
  <c r="W252" i="3"/>
  <c r="V252" i="3"/>
  <c r="U252" i="3"/>
  <c r="T252" i="3"/>
  <c r="V251" i="3"/>
  <c r="W251" i="3" s="1"/>
  <c r="U251" i="3"/>
  <c r="T251" i="3"/>
  <c r="V250" i="3"/>
  <c r="W250" i="3" s="1"/>
  <c r="U250" i="3"/>
  <c r="T250" i="3"/>
  <c r="V249" i="3"/>
  <c r="W249" i="3" s="1"/>
  <c r="U249" i="3"/>
  <c r="T249" i="3"/>
  <c r="W248" i="3"/>
  <c r="V248" i="3"/>
  <c r="U248" i="3"/>
  <c r="T248" i="3"/>
  <c r="V247" i="3"/>
  <c r="W247" i="3" s="1"/>
  <c r="U247" i="3"/>
  <c r="T247" i="3"/>
  <c r="V246" i="3"/>
  <c r="W246" i="3" s="1"/>
  <c r="U246" i="3"/>
  <c r="T246" i="3"/>
  <c r="V245" i="3"/>
  <c r="W245" i="3" s="1"/>
  <c r="U245" i="3"/>
  <c r="T245" i="3"/>
  <c r="W244" i="3"/>
  <c r="V244" i="3"/>
  <c r="U244" i="3"/>
  <c r="T244" i="3"/>
  <c r="V243" i="3"/>
  <c r="W243" i="3" s="1"/>
  <c r="U243" i="3"/>
  <c r="T243" i="3"/>
  <c r="V242" i="3"/>
  <c r="W242" i="3" s="1"/>
  <c r="U242" i="3"/>
  <c r="T242" i="3"/>
  <c r="V241" i="3"/>
  <c r="W241" i="3" s="1"/>
  <c r="U241" i="3"/>
  <c r="T241" i="3"/>
  <c r="W240" i="3"/>
  <c r="V240" i="3"/>
  <c r="U240" i="3"/>
  <c r="T240" i="3"/>
  <c r="V239" i="3"/>
  <c r="W239" i="3" s="1"/>
  <c r="U239" i="3"/>
  <c r="T239" i="3"/>
  <c r="V238" i="3"/>
  <c r="W238" i="3" s="1"/>
  <c r="U238" i="3"/>
  <c r="T238" i="3"/>
  <c r="V237" i="3"/>
  <c r="W237" i="3" s="1"/>
  <c r="U237" i="3"/>
  <c r="T237" i="3"/>
  <c r="V236" i="3"/>
  <c r="W236" i="3" s="1"/>
  <c r="U236" i="3"/>
  <c r="T236" i="3"/>
  <c r="V235" i="3"/>
  <c r="W235" i="3" s="1"/>
  <c r="U235" i="3"/>
  <c r="T235" i="3"/>
  <c r="V234" i="3"/>
  <c r="W234" i="3" s="1"/>
  <c r="U234" i="3"/>
  <c r="T234" i="3"/>
  <c r="V233" i="3"/>
  <c r="W233" i="3" s="1"/>
  <c r="U233" i="3"/>
  <c r="T233" i="3"/>
  <c r="W232" i="3"/>
  <c r="V232" i="3"/>
  <c r="U232" i="3"/>
  <c r="T232" i="3"/>
  <c r="V231" i="3"/>
  <c r="W231" i="3" s="1"/>
  <c r="U231" i="3"/>
  <c r="T231" i="3"/>
  <c r="V230" i="3"/>
  <c r="W230" i="3" s="1"/>
  <c r="U230" i="3"/>
  <c r="T230" i="3"/>
  <c r="V229" i="3"/>
  <c r="W229" i="3" s="1"/>
  <c r="U229" i="3"/>
  <c r="T229" i="3"/>
  <c r="V228" i="3"/>
  <c r="W228" i="3" s="1"/>
  <c r="U228" i="3"/>
  <c r="T228" i="3"/>
  <c r="V227" i="3"/>
  <c r="W227" i="3" s="1"/>
  <c r="U227" i="3"/>
  <c r="T227" i="3"/>
  <c r="V226" i="3"/>
  <c r="W226" i="3" s="1"/>
  <c r="U226" i="3"/>
  <c r="T226" i="3"/>
  <c r="V225" i="3"/>
  <c r="W225" i="3" s="1"/>
  <c r="U225" i="3"/>
  <c r="T225" i="3"/>
  <c r="W224" i="3"/>
  <c r="V224" i="3"/>
  <c r="U224" i="3"/>
  <c r="T224" i="3"/>
  <c r="V223" i="3"/>
  <c r="W223" i="3" s="1"/>
  <c r="U223" i="3"/>
  <c r="T223" i="3"/>
  <c r="V222" i="3"/>
  <c r="W222" i="3" s="1"/>
  <c r="U222" i="3"/>
  <c r="T222" i="3"/>
  <c r="V221" i="3"/>
  <c r="W221" i="3" s="1"/>
  <c r="U221" i="3"/>
  <c r="T221" i="3"/>
  <c r="V220" i="3"/>
  <c r="W220" i="3" s="1"/>
  <c r="U220" i="3"/>
  <c r="T220" i="3"/>
  <c r="V219" i="3"/>
  <c r="W219" i="3" s="1"/>
  <c r="U219" i="3"/>
  <c r="T219" i="3"/>
  <c r="V218" i="3"/>
  <c r="W218" i="3" s="1"/>
  <c r="U218" i="3"/>
  <c r="T218" i="3"/>
  <c r="V217" i="3"/>
  <c r="W217" i="3" s="1"/>
  <c r="U217" i="3"/>
  <c r="T217" i="3"/>
  <c r="V216" i="3"/>
  <c r="W216" i="3" s="1"/>
  <c r="U216" i="3"/>
  <c r="T216" i="3"/>
  <c r="V215" i="3"/>
  <c r="W215" i="3" s="1"/>
  <c r="U215" i="3"/>
  <c r="T215" i="3"/>
  <c r="V214" i="3"/>
  <c r="W214" i="3" s="1"/>
  <c r="U214" i="3"/>
  <c r="T214" i="3"/>
  <c r="V213" i="3"/>
  <c r="W213" i="3" s="1"/>
  <c r="U213" i="3"/>
  <c r="T213" i="3"/>
  <c r="V212" i="3"/>
  <c r="W212" i="3" s="1"/>
  <c r="U212" i="3"/>
  <c r="T212" i="3"/>
  <c r="V211" i="3"/>
  <c r="W211" i="3" s="1"/>
  <c r="U211" i="3"/>
  <c r="T211" i="3"/>
  <c r="V210" i="3"/>
  <c r="W210" i="3" s="1"/>
  <c r="U210" i="3"/>
  <c r="T210" i="3"/>
  <c r="V209" i="3"/>
  <c r="W209" i="3" s="1"/>
  <c r="U209" i="3"/>
  <c r="T209" i="3"/>
  <c r="V208" i="3"/>
  <c r="W208" i="3" s="1"/>
  <c r="U208" i="3"/>
  <c r="T208" i="3"/>
  <c r="V207" i="3"/>
  <c r="W207" i="3" s="1"/>
  <c r="U207" i="3"/>
  <c r="T207" i="3"/>
  <c r="V206" i="3"/>
  <c r="W206" i="3" s="1"/>
  <c r="U206" i="3"/>
  <c r="T206" i="3"/>
  <c r="V205" i="3"/>
  <c r="W205" i="3" s="1"/>
  <c r="U205" i="3"/>
  <c r="T205" i="3"/>
  <c r="V204" i="3"/>
  <c r="W204" i="3" s="1"/>
  <c r="U204" i="3"/>
  <c r="T204" i="3"/>
  <c r="V203" i="3"/>
  <c r="W203" i="3" s="1"/>
  <c r="U203" i="3"/>
  <c r="T203" i="3"/>
  <c r="V202" i="3"/>
  <c r="W202" i="3" s="1"/>
  <c r="U202" i="3"/>
  <c r="T202" i="3"/>
  <c r="V201" i="3"/>
  <c r="W201" i="3" s="1"/>
  <c r="U201" i="3"/>
  <c r="T201" i="3"/>
  <c r="V200" i="3"/>
  <c r="W200" i="3" s="1"/>
  <c r="U200" i="3"/>
  <c r="T200" i="3"/>
  <c r="V199" i="3"/>
  <c r="W199" i="3" s="1"/>
  <c r="U199" i="3"/>
  <c r="T199" i="3"/>
  <c r="V198" i="3"/>
  <c r="W198" i="3" s="1"/>
  <c r="U198" i="3"/>
  <c r="T198" i="3"/>
  <c r="V197" i="3"/>
  <c r="W197" i="3" s="1"/>
  <c r="U197" i="3"/>
  <c r="T197" i="3"/>
  <c r="V196" i="3"/>
  <c r="W196" i="3" s="1"/>
  <c r="U196" i="3"/>
  <c r="T196" i="3"/>
  <c r="V195" i="3"/>
  <c r="W195" i="3" s="1"/>
  <c r="U195" i="3"/>
  <c r="T195" i="3"/>
  <c r="V194" i="3"/>
  <c r="W194" i="3" s="1"/>
  <c r="U194" i="3"/>
  <c r="T194" i="3"/>
  <c r="V193" i="3"/>
  <c r="W193" i="3" s="1"/>
  <c r="U193" i="3"/>
  <c r="T193" i="3"/>
  <c r="V192" i="3"/>
  <c r="W192" i="3" s="1"/>
  <c r="U192" i="3"/>
  <c r="T192" i="3"/>
  <c r="V191" i="3"/>
  <c r="W191" i="3" s="1"/>
  <c r="U191" i="3"/>
  <c r="T191" i="3"/>
  <c r="V190" i="3"/>
  <c r="W190" i="3" s="1"/>
  <c r="U190" i="3"/>
  <c r="T190" i="3"/>
  <c r="V189" i="3"/>
  <c r="W189" i="3" s="1"/>
  <c r="U189" i="3"/>
  <c r="T189" i="3"/>
  <c r="W188" i="3"/>
  <c r="V188" i="3"/>
  <c r="U188" i="3"/>
  <c r="T188" i="3"/>
  <c r="V187" i="3"/>
  <c r="W187" i="3" s="1"/>
  <c r="U187" i="3"/>
  <c r="T187" i="3"/>
  <c r="V186" i="3"/>
  <c r="W186" i="3" s="1"/>
  <c r="U186" i="3"/>
  <c r="T186" i="3"/>
  <c r="V185" i="3"/>
  <c r="W185" i="3" s="1"/>
  <c r="U185" i="3"/>
  <c r="T185" i="3"/>
  <c r="W184" i="3"/>
  <c r="V184" i="3"/>
  <c r="U184" i="3"/>
  <c r="T184" i="3"/>
  <c r="V183" i="3"/>
  <c r="W183" i="3" s="1"/>
  <c r="U183" i="3"/>
  <c r="T183" i="3"/>
  <c r="V182" i="3"/>
  <c r="W182" i="3" s="1"/>
  <c r="U182" i="3"/>
  <c r="T182" i="3"/>
  <c r="V181" i="3"/>
  <c r="W181" i="3" s="1"/>
  <c r="U181" i="3"/>
  <c r="T181" i="3"/>
  <c r="W180" i="3"/>
  <c r="V180" i="3"/>
  <c r="U180" i="3"/>
  <c r="T180" i="3"/>
  <c r="V179" i="3"/>
  <c r="W179" i="3" s="1"/>
  <c r="U179" i="3"/>
  <c r="T179" i="3"/>
  <c r="V178" i="3"/>
  <c r="W178" i="3" s="1"/>
  <c r="U178" i="3"/>
  <c r="T178" i="3"/>
  <c r="V177" i="3"/>
  <c r="W177" i="3" s="1"/>
  <c r="U177" i="3"/>
  <c r="T177" i="3"/>
  <c r="W176" i="3"/>
  <c r="V176" i="3"/>
  <c r="U176" i="3"/>
  <c r="T176" i="3"/>
  <c r="V175" i="3"/>
  <c r="W175" i="3" s="1"/>
  <c r="U175" i="3"/>
  <c r="T175" i="3"/>
  <c r="V174" i="3"/>
  <c r="W174" i="3" s="1"/>
  <c r="U174" i="3"/>
  <c r="T174" i="3"/>
  <c r="V173" i="3"/>
  <c r="W173" i="3" s="1"/>
  <c r="U173" i="3"/>
  <c r="T173" i="3"/>
  <c r="V172" i="3"/>
  <c r="W172" i="3" s="1"/>
  <c r="U172" i="3"/>
  <c r="T172" i="3"/>
  <c r="V171" i="3"/>
  <c r="W171" i="3" s="1"/>
  <c r="U171" i="3"/>
  <c r="T171" i="3"/>
  <c r="V170" i="3"/>
  <c r="W170" i="3" s="1"/>
  <c r="U170" i="3"/>
  <c r="T170" i="3"/>
  <c r="V169" i="3"/>
  <c r="W169" i="3" s="1"/>
  <c r="U169" i="3"/>
  <c r="T169" i="3"/>
  <c r="W168" i="3"/>
  <c r="V168" i="3"/>
  <c r="U168" i="3"/>
  <c r="T168" i="3"/>
  <c r="V167" i="3"/>
  <c r="W167" i="3" s="1"/>
  <c r="U167" i="3"/>
  <c r="T167" i="3"/>
  <c r="V166" i="3"/>
  <c r="W166" i="3" s="1"/>
  <c r="U166" i="3"/>
  <c r="T166" i="3"/>
  <c r="V165" i="3"/>
  <c r="W165" i="3" s="1"/>
  <c r="U165" i="3"/>
  <c r="T165" i="3"/>
  <c r="V164" i="3"/>
  <c r="W164" i="3" s="1"/>
  <c r="U164" i="3"/>
  <c r="T164" i="3"/>
  <c r="V163" i="3"/>
  <c r="W163" i="3" s="1"/>
  <c r="U163" i="3"/>
  <c r="T163" i="3"/>
  <c r="V162" i="3"/>
  <c r="W162" i="3" s="1"/>
  <c r="U162" i="3"/>
  <c r="T162" i="3"/>
  <c r="V161" i="3"/>
  <c r="W161" i="3" s="1"/>
  <c r="U161" i="3"/>
  <c r="T161" i="3"/>
  <c r="W160" i="3"/>
  <c r="V160" i="3"/>
  <c r="U160" i="3"/>
  <c r="T160" i="3"/>
  <c r="V159" i="3"/>
  <c r="W159" i="3" s="1"/>
  <c r="U159" i="3"/>
  <c r="T159" i="3"/>
  <c r="V158" i="3"/>
  <c r="W158" i="3" s="1"/>
  <c r="U158" i="3"/>
  <c r="T158" i="3"/>
  <c r="V157" i="3"/>
  <c r="W157" i="3" s="1"/>
  <c r="U157" i="3"/>
  <c r="T157" i="3"/>
  <c r="V156" i="3"/>
  <c r="W156" i="3" s="1"/>
  <c r="U156" i="3"/>
  <c r="T156" i="3"/>
  <c r="V155" i="3"/>
  <c r="W155" i="3" s="1"/>
  <c r="U155" i="3"/>
  <c r="T155" i="3"/>
  <c r="V154" i="3"/>
  <c r="W154" i="3" s="1"/>
  <c r="U154" i="3"/>
  <c r="T154" i="3"/>
  <c r="V153" i="3"/>
  <c r="W153" i="3" s="1"/>
  <c r="U153" i="3"/>
  <c r="T153" i="3"/>
  <c r="V152" i="3"/>
  <c r="W152" i="3" s="1"/>
  <c r="U152" i="3"/>
  <c r="T152" i="3"/>
  <c r="V151" i="3"/>
  <c r="W151" i="3" s="1"/>
  <c r="U151" i="3"/>
  <c r="T151" i="3"/>
  <c r="V150" i="3"/>
  <c r="W150" i="3" s="1"/>
  <c r="U150" i="3"/>
  <c r="T150" i="3"/>
  <c r="V149" i="3"/>
  <c r="W149" i="3" s="1"/>
  <c r="U149" i="3"/>
  <c r="T149" i="3"/>
  <c r="V148" i="3"/>
  <c r="W148" i="3" s="1"/>
  <c r="U148" i="3"/>
  <c r="T148" i="3"/>
  <c r="V147" i="3"/>
  <c r="W147" i="3" s="1"/>
  <c r="U147" i="3"/>
  <c r="T147" i="3"/>
  <c r="V146" i="3"/>
  <c r="W146" i="3" s="1"/>
  <c r="U146" i="3"/>
  <c r="T146" i="3"/>
  <c r="V145" i="3"/>
  <c r="W145" i="3" s="1"/>
  <c r="U145" i="3"/>
  <c r="T145" i="3"/>
  <c r="V144" i="3"/>
  <c r="W144" i="3" s="1"/>
  <c r="U144" i="3"/>
  <c r="T144" i="3"/>
  <c r="V143" i="3"/>
  <c r="W143" i="3" s="1"/>
  <c r="U143" i="3"/>
  <c r="T143" i="3"/>
  <c r="V142" i="3"/>
  <c r="W142" i="3" s="1"/>
  <c r="U142" i="3"/>
  <c r="T142" i="3"/>
  <c r="V141" i="3"/>
  <c r="W141" i="3" s="1"/>
  <c r="U141" i="3"/>
  <c r="T141" i="3"/>
  <c r="V140" i="3"/>
  <c r="W140" i="3" s="1"/>
  <c r="U140" i="3"/>
  <c r="T140" i="3"/>
  <c r="V139" i="3"/>
  <c r="W139" i="3" s="1"/>
  <c r="U139" i="3"/>
  <c r="T139" i="3"/>
  <c r="V138" i="3"/>
  <c r="W138" i="3" s="1"/>
  <c r="U138" i="3"/>
  <c r="T138" i="3"/>
  <c r="V137" i="3"/>
  <c r="W137" i="3" s="1"/>
  <c r="U137" i="3"/>
  <c r="T137" i="3"/>
  <c r="V136" i="3"/>
  <c r="W136" i="3" s="1"/>
  <c r="U136" i="3"/>
  <c r="T136" i="3"/>
  <c r="V135" i="3"/>
  <c r="W135" i="3" s="1"/>
  <c r="U135" i="3"/>
  <c r="T135" i="3"/>
  <c r="V134" i="3"/>
  <c r="W134" i="3" s="1"/>
  <c r="U134" i="3"/>
  <c r="T134" i="3"/>
  <c r="V133" i="3"/>
  <c r="W133" i="3" s="1"/>
  <c r="U133" i="3"/>
  <c r="T133" i="3"/>
  <c r="V132" i="3"/>
  <c r="W132" i="3" s="1"/>
  <c r="U132" i="3"/>
  <c r="T132" i="3"/>
  <c r="V131" i="3"/>
  <c r="W131" i="3" s="1"/>
  <c r="U131" i="3"/>
  <c r="T131" i="3"/>
  <c r="V130" i="3"/>
  <c r="W130" i="3" s="1"/>
  <c r="U130" i="3"/>
  <c r="T130" i="3"/>
  <c r="V129" i="3"/>
  <c r="W129" i="3" s="1"/>
  <c r="U129" i="3"/>
  <c r="T129" i="3"/>
  <c r="V128" i="3"/>
  <c r="W128" i="3" s="1"/>
  <c r="U128" i="3"/>
  <c r="T128" i="3"/>
  <c r="V127" i="3"/>
  <c r="W127" i="3" s="1"/>
  <c r="U127" i="3"/>
  <c r="T127" i="3"/>
  <c r="V126" i="3"/>
  <c r="W126" i="3" s="1"/>
  <c r="U126" i="3"/>
  <c r="T126" i="3"/>
  <c r="V125" i="3"/>
  <c r="W125" i="3" s="1"/>
  <c r="U125" i="3"/>
  <c r="T125" i="3"/>
  <c r="W124" i="3"/>
  <c r="V124" i="3"/>
  <c r="U124" i="3"/>
  <c r="T124" i="3"/>
  <c r="V123" i="3"/>
  <c r="W123" i="3" s="1"/>
  <c r="U123" i="3"/>
  <c r="T123" i="3"/>
  <c r="V122" i="3"/>
  <c r="W122" i="3" s="1"/>
  <c r="U122" i="3"/>
  <c r="T122" i="3"/>
  <c r="V121" i="3"/>
  <c r="W121" i="3" s="1"/>
  <c r="U121" i="3"/>
  <c r="T121" i="3"/>
  <c r="W120" i="3"/>
  <c r="V120" i="3"/>
  <c r="U120" i="3"/>
  <c r="T120" i="3"/>
  <c r="V119" i="3"/>
  <c r="W119" i="3" s="1"/>
  <c r="U119" i="3"/>
  <c r="T119" i="3"/>
  <c r="V118" i="3"/>
  <c r="W118" i="3" s="1"/>
  <c r="U118" i="3"/>
  <c r="T118" i="3"/>
  <c r="V117" i="3"/>
  <c r="W117" i="3" s="1"/>
  <c r="U117" i="3"/>
  <c r="T117" i="3"/>
  <c r="W116" i="3"/>
  <c r="V116" i="3"/>
  <c r="U116" i="3"/>
  <c r="T116" i="3"/>
  <c r="V115" i="3"/>
  <c r="W115" i="3" s="1"/>
  <c r="U115" i="3"/>
  <c r="T115" i="3"/>
  <c r="V114" i="3"/>
  <c r="W114" i="3" s="1"/>
  <c r="U114" i="3"/>
  <c r="T114" i="3"/>
  <c r="V113" i="3"/>
  <c r="W113" i="3" s="1"/>
  <c r="U113" i="3"/>
  <c r="T113" i="3"/>
  <c r="W112" i="3"/>
  <c r="V112" i="3"/>
  <c r="U112" i="3"/>
  <c r="T112" i="3"/>
  <c r="V111" i="3"/>
  <c r="W111" i="3" s="1"/>
  <c r="U111" i="3"/>
  <c r="T111" i="3"/>
  <c r="V110" i="3"/>
  <c r="W110" i="3" s="1"/>
  <c r="U110" i="3"/>
  <c r="T110" i="3"/>
  <c r="V109" i="3"/>
  <c r="W109" i="3" s="1"/>
  <c r="U109" i="3"/>
  <c r="T109" i="3"/>
  <c r="V108" i="3"/>
  <c r="W108" i="3" s="1"/>
  <c r="U108" i="3"/>
  <c r="T108" i="3"/>
  <c r="V107" i="3"/>
  <c r="W107" i="3" s="1"/>
  <c r="U107" i="3"/>
  <c r="T107" i="3"/>
  <c r="V106" i="3"/>
  <c r="W106" i="3" s="1"/>
  <c r="U106" i="3"/>
  <c r="T106" i="3"/>
  <c r="V105" i="3"/>
  <c r="W105" i="3" s="1"/>
  <c r="U105" i="3"/>
  <c r="T105" i="3"/>
  <c r="W104" i="3"/>
  <c r="V104" i="3"/>
  <c r="U104" i="3"/>
  <c r="T104" i="3"/>
  <c r="V103" i="3"/>
  <c r="W103" i="3" s="1"/>
  <c r="U103" i="3"/>
  <c r="T103" i="3"/>
  <c r="V102" i="3"/>
  <c r="W102" i="3" s="1"/>
  <c r="U102" i="3"/>
  <c r="T102" i="3"/>
  <c r="V101" i="3"/>
  <c r="W101" i="3" s="1"/>
  <c r="U101" i="3"/>
  <c r="T101" i="3"/>
  <c r="V100" i="3"/>
  <c r="W100" i="3" s="1"/>
  <c r="U100" i="3"/>
  <c r="T100" i="3"/>
  <c r="V99" i="3"/>
  <c r="W99" i="3" s="1"/>
  <c r="U99" i="3"/>
  <c r="T99" i="3"/>
  <c r="V98" i="3"/>
  <c r="W98" i="3" s="1"/>
  <c r="U98" i="3"/>
  <c r="T98" i="3"/>
  <c r="V97" i="3"/>
  <c r="W97" i="3" s="1"/>
  <c r="U97" i="3"/>
  <c r="T97" i="3"/>
  <c r="W96" i="3"/>
  <c r="V96" i="3"/>
  <c r="U96" i="3"/>
  <c r="T96" i="3"/>
  <c r="V95" i="3"/>
  <c r="W95" i="3" s="1"/>
  <c r="U95" i="3"/>
  <c r="T95" i="3"/>
  <c r="V94" i="3"/>
  <c r="W94" i="3" s="1"/>
  <c r="U94" i="3"/>
  <c r="T94" i="3"/>
  <c r="V93" i="3"/>
  <c r="W93" i="3" s="1"/>
  <c r="U93" i="3"/>
  <c r="T93" i="3"/>
  <c r="V92" i="3"/>
  <c r="W92" i="3" s="1"/>
  <c r="U92" i="3"/>
  <c r="T92" i="3"/>
  <c r="V91" i="3"/>
  <c r="W91" i="3" s="1"/>
  <c r="U91" i="3"/>
  <c r="T91" i="3"/>
  <c r="V90" i="3"/>
  <c r="W90" i="3" s="1"/>
  <c r="U90" i="3"/>
  <c r="T90" i="3"/>
  <c r="V89" i="3"/>
  <c r="W89" i="3" s="1"/>
  <c r="U89" i="3"/>
  <c r="T89" i="3"/>
  <c r="V88" i="3"/>
  <c r="W88" i="3" s="1"/>
  <c r="U88" i="3"/>
  <c r="T88" i="3"/>
  <c r="V87" i="3"/>
  <c r="W87" i="3" s="1"/>
  <c r="U87" i="3"/>
  <c r="T87" i="3"/>
  <c r="V86" i="3"/>
  <c r="W86" i="3" s="1"/>
  <c r="U86" i="3"/>
  <c r="T86" i="3"/>
  <c r="V85" i="3"/>
  <c r="W85" i="3" s="1"/>
  <c r="U85" i="3"/>
  <c r="T85" i="3"/>
  <c r="V84" i="3"/>
  <c r="W84" i="3" s="1"/>
  <c r="U84" i="3"/>
  <c r="T84" i="3"/>
  <c r="V83" i="3"/>
  <c r="W83" i="3" s="1"/>
  <c r="U83" i="3"/>
  <c r="T83" i="3"/>
  <c r="V82" i="3"/>
  <c r="W82" i="3" s="1"/>
  <c r="U82" i="3"/>
  <c r="T82" i="3"/>
  <c r="V81" i="3"/>
  <c r="W81" i="3" s="1"/>
  <c r="U81" i="3"/>
  <c r="T81" i="3"/>
  <c r="V80" i="3"/>
  <c r="W80" i="3" s="1"/>
  <c r="U80" i="3"/>
  <c r="T80" i="3"/>
  <c r="V79" i="3"/>
  <c r="W79" i="3" s="1"/>
  <c r="U79" i="3"/>
  <c r="T79" i="3"/>
  <c r="V78" i="3"/>
  <c r="W78" i="3" s="1"/>
  <c r="U78" i="3"/>
  <c r="T78" i="3"/>
  <c r="V77" i="3"/>
  <c r="W77" i="3" s="1"/>
  <c r="U77" i="3"/>
  <c r="T77" i="3"/>
  <c r="V76" i="3"/>
  <c r="W76" i="3" s="1"/>
  <c r="U76" i="3"/>
  <c r="T76" i="3"/>
  <c r="V75" i="3"/>
  <c r="W75" i="3" s="1"/>
  <c r="U75" i="3"/>
  <c r="T75" i="3"/>
  <c r="V74" i="3"/>
  <c r="W74" i="3" s="1"/>
  <c r="U74" i="3"/>
  <c r="T74" i="3"/>
  <c r="V73" i="3"/>
  <c r="W73" i="3" s="1"/>
  <c r="U73" i="3"/>
  <c r="T73" i="3"/>
  <c r="V72" i="3"/>
  <c r="W72" i="3" s="1"/>
  <c r="U72" i="3"/>
  <c r="T72" i="3"/>
  <c r="V71" i="3"/>
  <c r="W71" i="3" s="1"/>
  <c r="U71" i="3"/>
  <c r="T71" i="3"/>
  <c r="V70" i="3"/>
  <c r="W70" i="3" s="1"/>
  <c r="U70" i="3"/>
  <c r="T70" i="3"/>
  <c r="V69" i="3"/>
  <c r="W69" i="3" s="1"/>
  <c r="U69" i="3"/>
  <c r="T69" i="3"/>
  <c r="V68" i="3"/>
  <c r="W68" i="3" s="1"/>
  <c r="U68" i="3"/>
  <c r="T68" i="3"/>
  <c r="V67" i="3"/>
  <c r="W67" i="3" s="1"/>
  <c r="U67" i="3"/>
  <c r="T67" i="3"/>
  <c r="V66" i="3"/>
  <c r="W66" i="3" s="1"/>
  <c r="U66" i="3"/>
  <c r="T66" i="3"/>
  <c r="V65" i="3"/>
  <c r="W65" i="3" s="1"/>
  <c r="U65" i="3"/>
  <c r="T65" i="3"/>
  <c r="V64" i="3"/>
  <c r="W64" i="3" s="1"/>
  <c r="U64" i="3"/>
  <c r="T64" i="3"/>
  <c r="V63" i="3"/>
  <c r="W63" i="3" s="1"/>
  <c r="U63" i="3"/>
  <c r="T63" i="3"/>
  <c r="V62" i="3"/>
  <c r="W62" i="3" s="1"/>
  <c r="U62" i="3"/>
  <c r="T62" i="3"/>
  <c r="V61" i="3"/>
  <c r="W61" i="3" s="1"/>
  <c r="U61" i="3"/>
  <c r="T61" i="3"/>
  <c r="W60" i="3"/>
  <c r="V60" i="3"/>
  <c r="U60" i="3"/>
  <c r="T60" i="3"/>
  <c r="V59" i="3"/>
  <c r="W59" i="3" s="1"/>
  <c r="U59" i="3"/>
  <c r="T59" i="3"/>
  <c r="V58" i="3"/>
  <c r="W58" i="3" s="1"/>
  <c r="U58" i="3"/>
  <c r="T58" i="3"/>
  <c r="V57" i="3"/>
  <c r="W57" i="3" s="1"/>
  <c r="U57" i="3"/>
  <c r="T57" i="3"/>
  <c r="W56" i="3"/>
  <c r="V56" i="3"/>
  <c r="U56" i="3"/>
  <c r="T56" i="3"/>
  <c r="V55" i="3"/>
  <c r="W55" i="3" s="1"/>
  <c r="U55" i="3"/>
  <c r="T55" i="3"/>
  <c r="V54" i="3"/>
  <c r="W54" i="3" s="1"/>
  <c r="U54" i="3"/>
  <c r="T54" i="3"/>
  <c r="V53" i="3"/>
  <c r="W53" i="3" s="1"/>
  <c r="U53" i="3"/>
  <c r="T53" i="3"/>
  <c r="W52" i="3"/>
  <c r="V52" i="3"/>
  <c r="U52" i="3"/>
  <c r="T52" i="3"/>
  <c r="V51" i="3"/>
  <c r="W51" i="3" s="1"/>
  <c r="U51" i="3"/>
  <c r="T51" i="3"/>
  <c r="V50" i="3"/>
  <c r="W50" i="3" s="1"/>
  <c r="U50" i="3"/>
  <c r="T50" i="3"/>
  <c r="V49" i="3"/>
  <c r="W49" i="3" s="1"/>
  <c r="U49" i="3"/>
  <c r="T49" i="3"/>
  <c r="W48" i="3"/>
  <c r="V48" i="3"/>
  <c r="U48" i="3"/>
  <c r="T48" i="3"/>
  <c r="V47" i="3"/>
  <c r="W47" i="3" s="1"/>
  <c r="U47" i="3"/>
  <c r="T47" i="3"/>
  <c r="V46" i="3"/>
  <c r="W46" i="3" s="1"/>
  <c r="U46" i="3"/>
  <c r="T46" i="3"/>
  <c r="V45" i="3"/>
  <c r="W45" i="3" s="1"/>
  <c r="U45" i="3"/>
  <c r="T45" i="3"/>
  <c r="W44" i="3"/>
  <c r="V44" i="3"/>
  <c r="U44" i="3"/>
  <c r="T44" i="3"/>
  <c r="V43" i="3"/>
  <c r="W43" i="3" s="1"/>
  <c r="U43" i="3"/>
  <c r="T43" i="3"/>
  <c r="V42" i="3"/>
  <c r="W42" i="3" s="1"/>
  <c r="U42" i="3"/>
  <c r="T42" i="3"/>
  <c r="V41" i="3"/>
  <c r="W41" i="3" s="1"/>
  <c r="U41" i="3"/>
  <c r="T41" i="3"/>
  <c r="W40" i="3"/>
  <c r="V40" i="3"/>
  <c r="U40" i="3"/>
  <c r="T40" i="3"/>
  <c r="V39" i="3"/>
  <c r="W39" i="3" s="1"/>
  <c r="U39" i="3"/>
  <c r="T39" i="3"/>
  <c r="V38" i="3"/>
  <c r="W38" i="3" s="1"/>
  <c r="U38" i="3"/>
  <c r="T38" i="3"/>
  <c r="V37" i="3"/>
  <c r="W37" i="3" s="1"/>
  <c r="U37" i="3"/>
  <c r="T37" i="3"/>
  <c r="V36" i="3"/>
  <c r="W36" i="3" s="1"/>
  <c r="U36" i="3"/>
  <c r="T36" i="3"/>
  <c r="V35" i="3"/>
  <c r="W35" i="3" s="1"/>
  <c r="U35" i="3"/>
  <c r="T35" i="3"/>
  <c r="V34" i="3"/>
  <c r="W34" i="3" s="1"/>
  <c r="U34" i="3"/>
  <c r="T34" i="3"/>
  <c r="V33" i="3"/>
  <c r="W33" i="3" s="1"/>
  <c r="U33" i="3"/>
  <c r="T33" i="3"/>
  <c r="W32" i="3"/>
  <c r="V32" i="3"/>
  <c r="U32" i="3"/>
  <c r="T32" i="3"/>
  <c r="V31" i="3"/>
  <c r="W31" i="3" s="1"/>
  <c r="U31" i="3"/>
  <c r="T31" i="3"/>
  <c r="V30" i="3"/>
  <c r="W30" i="3" s="1"/>
  <c r="U30" i="3"/>
  <c r="T30" i="3"/>
  <c r="V29" i="3"/>
  <c r="W29" i="3" s="1"/>
  <c r="U29" i="3"/>
  <c r="T29" i="3"/>
  <c r="V28" i="3"/>
  <c r="W28" i="3" s="1"/>
  <c r="U28" i="3"/>
  <c r="T28" i="3"/>
  <c r="V27" i="3"/>
  <c r="W27" i="3" s="1"/>
  <c r="U27" i="3"/>
  <c r="T27" i="3"/>
  <c r="V26" i="3"/>
  <c r="W26" i="3" s="1"/>
  <c r="U26" i="3"/>
  <c r="T26" i="3"/>
  <c r="V25" i="3"/>
  <c r="W25" i="3" s="1"/>
  <c r="U25" i="3"/>
  <c r="T25" i="3"/>
  <c r="V24" i="3"/>
  <c r="W24" i="3" s="1"/>
  <c r="U24" i="3"/>
  <c r="T24" i="3"/>
  <c r="V23" i="3"/>
  <c r="W23" i="3" s="1"/>
  <c r="U23" i="3"/>
  <c r="T23" i="3"/>
  <c r="V22" i="3"/>
  <c r="W22" i="3" s="1"/>
  <c r="U22" i="3"/>
  <c r="T22" i="3"/>
  <c r="V21" i="3"/>
  <c r="W21" i="3" s="1"/>
  <c r="U21" i="3"/>
  <c r="T21" i="3"/>
  <c r="V20" i="3"/>
  <c r="W20" i="3" s="1"/>
  <c r="U20" i="3"/>
  <c r="T20" i="3"/>
  <c r="V19" i="3"/>
  <c r="W19" i="3" s="1"/>
  <c r="U19" i="3"/>
  <c r="T19" i="3"/>
  <c r="V18" i="3"/>
  <c r="W18" i="3" s="1"/>
  <c r="U18" i="3"/>
  <c r="T18" i="3"/>
  <c r="V17" i="3"/>
  <c r="W17" i="3" s="1"/>
  <c r="U17" i="3"/>
  <c r="T17" i="3"/>
  <c r="V16" i="3"/>
  <c r="W16" i="3" s="1"/>
  <c r="U16" i="3"/>
  <c r="T16" i="3"/>
  <c r="V15" i="3"/>
  <c r="W15" i="3" s="1"/>
  <c r="U15" i="3"/>
  <c r="T15" i="3"/>
  <c r="V14" i="3"/>
  <c r="W14" i="3" s="1"/>
  <c r="U14" i="3"/>
  <c r="T14" i="3"/>
  <c r="V13" i="3"/>
  <c r="W13" i="3" s="1"/>
  <c r="U13" i="3"/>
  <c r="T13" i="3"/>
  <c r="V12" i="3"/>
  <c r="W12" i="3" s="1"/>
  <c r="U12" i="3"/>
  <c r="T12" i="3"/>
  <c r="V11" i="3"/>
  <c r="W11" i="3" s="1"/>
  <c r="U11" i="3"/>
  <c r="T11" i="3"/>
  <c r="V10" i="3"/>
  <c r="W10" i="3" s="1"/>
  <c r="U10" i="3"/>
  <c r="T10" i="3"/>
  <c r="V9" i="3"/>
  <c r="W9" i="3" s="1"/>
  <c r="U9" i="3"/>
  <c r="T9" i="3"/>
  <c r="U8" i="3"/>
  <c r="T8" i="3"/>
  <c r="V8" i="3" s="1"/>
  <c r="W8" i="3" s="1"/>
  <c r="U7" i="3"/>
  <c r="T7" i="3"/>
  <c r="V7" i="3" s="1"/>
  <c r="W7" i="3" s="1"/>
  <c r="U6" i="3"/>
  <c r="T6" i="3"/>
  <c r="V6" i="3" s="1"/>
  <c r="W6" i="3" s="1"/>
  <c r="U5" i="3"/>
  <c r="T5" i="3"/>
  <c r="D21" i="4" s="1"/>
  <c r="B38" i="2"/>
  <c r="A38" i="2"/>
  <c r="C38" i="2" s="1"/>
  <c r="A37" i="2"/>
  <c r="C36" i="2"/>
  <c r="B36" i="2"/>
  <c r="A36" i="2"/>
  <c r="C35" i="2"/>
  <c r="B35" i="2"/>
  <c r="A35" i="2"/>
  <c r="B34" i="2"/>
  <c r="A34" i="2"/>
  <c r="C34" i="2" s="1"/>
  <c r="A33" i="2"/>
  <c r="C33" i="2" s="1"/>
  <c r="C32" i="2"/>
  <c r="B32" i="2"/>
  <c r="A32" i="2"/>
  <c r="C31" i="2"/>
  <c r="B31" i="2"/>
  <c r="A31" i="2"/>
  <c r="B30" i="2"/>
  <c r="A30" i="2"/>
  <c r="C30" i="2" s="1"/>
  <c r="A29" i="2"/>
  <c r="A28" i="2"/>
  <c r="B28" i="2" s="1"/>
  <c r="C27" i="2"/>
  <c r="A27" i="2"/>
  <c r="B27" i="2" s="1"/>
  <c r="E23" i="2"/>
  <c r="D23" i="2"/>
  <c r="F23" i="2" s="1"/>
  <c r="B23" i="2"/>
  <c r="A23" i="2"/>
  <c r="F22" i="2"/>
  <c r="E22" i="2"/>
  <c r="D22" i="2"/>
  <c r="A22" i="2"/>
  <c r="B22" i="2" s="1"/>
  <c r="E21" i="2"/>
  <c r="D21" i="2"/>
  <c r="F21" i="2" s="1"/>
  <c r="A21" i="2"/>
  <c r="B21" i="2" s="1"/>
  <c r="F20" i="2"/>
  <c r="D20" i="2"/>
  <c r="E20" i="2" s="1"/>
  <c r="B20" i="2"/>
  <c r="A20" i="2"/>
  <c r="E19" i="2"/>
  <c r="D19" i="2"/>
  <c r="F19" i="2" s="1"/>
  <c r="A19" i="2"/>
  <c r="B19" i="2" s="1"/>
  <c r="D18" i="2"/>
  <c r="E18" i="2" s="1"/>
  <c r="B18" i="2"/>
  <c r="A18" i="2"/>
  <c r="F17" i="2"/>
  <c r="E17" i="2"/>
  <c r="D17" i="2"/>
  <c r="B17" i="2"/>
  <c r="A17" i="2"/>
  <c r="D16" i="2"/>
  <c r="B16" i="2"/>
  <c r="A16" i="2"/>
  <c r="E15" i="2"/>
  <c r="D15" i="2"/>
  <c r="F15" i="2" s="1"/>
  <c r="D14" i="2"/>
  <c r="F14" i="2" s="1"/>
  <c r="F13" i="2"/>
  <c r="E13" i="2"/>
  <c r="D13" i="2"/>
  <c r="F12" i="2"/>
  <c r="E12" i="2"/>
  <c r="D12" i="2"/>
  <c r="B12" i="2"/>
  <c r="F11" i="2"/>
  <c r="E11" i="2"/>
  <c r="D11" i="2"/>
  <c r="D10" i="2"/>
  <c r="F10" i="2" s="1"/>
  <c r="D9" i="2"/>
  <c r="E9" i="2" s="1"/>
  <c r="F8" i="2"/>
  <c r="E8" i="2"/>
  <c r="D8" i="2"/>
  <c r="F7" i="2"/>
  <c r="E7" i="2"/>
  <c r="D7" i="2"/>
  <c r="F6" i="2"/>
  <c r="D6" i="2"/>
  <c r="E6" i="2" s="1"/>
  <c r="B6" i="2"/>
  <c r="D5" i="2"/>
  <c r="E5" i="2" s="1"/>
  <c r="B5" i="2"/>
  <c r="F4" i="2"/>
  <c r="E4" i="2"/>
  <c r="D4" i="2"/>
  <c r="B4" i="2"/>
  <c r="B10" i="2" l="1"/>
  <c r="B11" i="2"/>
  <c r="B7" i="2"/>
  <c r="C28" i="2"/>
  <c r="C29" i="2"/>
  <c r="B29" i="2"/>
  <c r="C37" i="2"/>
  <c r="B37" i="2"/>
  <c r="F9" i="2"/>
  <c r="E14" i="2"/>
  <c r="F18" i="2"/>
  <c r="F5" i="2"/>
  <c r="E10" i="2"/>
  <c r="B33" i="2"/>
  <c r="V5" i="3"/>
  <c r="F16" i="2"/>
  <c r="E16" i="2"/>
  <c r="D20" i="4"/>
  <c r="B22" i="4" l="1"/>
  <c r="W5" i="3"/>
  <c r="B8" i="2" l="1"/>
  <c r="D22" i="4"/>
  <c r="B9" i="2"/>
</calcChain>
</file>

<file path=xl/sharedStrings.xml><?xml version="1.0" encoding="utf-8"?>
<sst xmlns="http://schemas.openxmlformats.org/spreadsheetml/2006/main" count="567" uniqueCount="404">
  <si>
    <t>FICHAS TÉCNICAS DE INVENTARIO TIC</t>
  </si>
  <si>
    <t>Plantilla para registrar, controlar y dar seguimiento a los activos de Tecnologías de la Información y Comunicación</t>
  </si>
  <si>
    <t>QUÉ ES</t>
  </si>
  <si>
    <t>Ficha técnica TIC</t>
  </si>
  <si>
    <t>Registro individual de un activo informático (equipo, servidor, dispositivo de red, periférico o licencia) con su identificación, características técnicas, ubicación, responsable, adquisición, garantía, mantenimiento y estado. Sirve para controlar el inventario, planificar renovaciones y presupuesto, y responder auditorías.</t>
  </si>
  <si>
    <t>CÓMO USAR EL LIBRO</t>
  </si>
  <si>
    <t>Paso 1</t>
  </si>
  <si>
    <t>Revise la hoja 'Listas' y adapte las áreas y demás opciones a su organización (los desplegables se actualizan solos).</t>
  </si>
  <si>
    <t>Paso 2</t>
  </si>
  <si>
    <t>Registre cada activo UNA vez en 'Inventario General'. El código patrimonial/interno es la llave que enlaza todas las demás hojas.</t>
  </si>
  <si>
    <t>Paso 3</t>
  </si>
  <si>
    <t>Complete la ficha especializada según el tipo de activo: 'Equipos de Cómputo', 'Servidores', 'Red y Comunicaciones' o 'Periféricos'. Elija el código en la columna A y la marca, el modelo y el responsable se traen solos.</t>
  </si>
  <si>
    <t>Paso 4</t>
  </si>
  <si>
    <t>Registre licencias en 'Software y Licencias', intervenciones en 'Mantenimiento' y entregas/devoluciones en 'Asignaciones'.</t>
  </si>
  <si>
    <t>Paso 5</t>
  </si>
  <si>
    <t>Para imprimir o firmar la ficha de un activo, use 'Ficha Individual': escriba o elija el código y se arma sola. 'Resumen' muestra los indicadores.</t>
  </si>
  <si>
    <t>LEYENDA DE COLORES</t>
  </si>
  <si>
    <t>Encabezado azul oscuro</t>
  </si>
  <si>
    <t>Columna que usted llena.</t>
  </si>
  <si>
    <t>Encabezado gris</t>
  </si>
  <si>
    <t>Columna calculada automáticamente (fórmula). No la sobrescriba.</t>
  </si>
  <si>
    <t>Fondo amarillo claro</t>
  </si>
  <si>
    <t>Fila de ejemplo con datos ficticios. Reemplácela o bórrela (solo las celdas de fondo amarillo, no las grises).</t>
  </si>
  <si>
    <t>Celdas grises</t>
  </si>
  <si>
    <t>Contienen fórmulas (antigüedad, estado de garantía, datos traídos del inventario, etc.).</t>
  </si>
  <si>
    <t>HOJAS DEL LIBRO</t>
  </si>
  <si>
    <t>Resumen</t>
  </si>
  <si>
    <t>Indicadores: total de activos, valor, garantías vencidas, activos a renovar, licencias por vencer, mantenimientos pendientes y desgloses por tipo, estado y área.</t>
  </si>
  <si>
    <t>Inventario General</t>
  </si>
  <si>
    <t>Registro maestro de todos los activos (hasta 300). Calcula antigüedad, estado de garantía, vida útil restante y situación de renovación.</t>
  </si>
  <si>
    <t>Ficha Individual</t>
  </si>
  <si>
    <t>Ficha imprimible de un activo: junta datos generales, técnicos, historial de mantenimiento y espacios para firmas.</t>
  </si>
  <si>
    <t>Equipos de Cómputo</t>
  </si>
  <si>
    <t>Laptops, PC, all-in-one, workstations, tablets: procesador, memoria, almacenamiento, sistema operativo, red, seguridad.</t>
  </si>
  <si>
    <t>Servidores</t>
  </si>
  <si>
    <t>Rol, procesadores, RAM, RAID, virtualización, ubicación en rack, consumo, respaldos.</t>
  </si>
  <si>
    <t>Red y Comunicaciones</t>
  </si>
  <si>
    <t>Switches, routers, firewalls, access points: puertos, PoE, firmware, IP de gestión, VLAN, proveedor de internet.</t>
  </si>
  <si>
    <t>Periféricos</t>
  </si>
  <si>
    <t>Impresoras, escáneres, monitores, proyectores, UPS, teléfonos IP, cámaras: conexión, consumibles, contador.</t>
  </si>
  <si>
    <t>Software y Licencias</t>
  </si>
  <si>
    <t>Licencias adquiridas vs. en uso, tipo, vencimiento y costo. Avisa las que están por vencer o vencidas.</t>
  </si>
  <si>
    <t>Mantenimiento</t>
  </si>
  <si>
    <t>Bitácora de mantenimientos preventivos, correctivos y actualizaciones, con costos y fecha del próximo mantenimiento.</t>
  </si>
  <si>
    <t>Asignaciones</t>
  </si>
  <si>
    <t>Historial de quién tuvo cada equipo, con fechas de entrega/devolución y número de acta.</t>
  </si>
  <si>
    <t>Listas</t>
  </si>
  <si>
    <t>Catálogos de los desplegables y parámetros de alerta. Puede agregar opciones debajo de las existentes.</t>
  </si>
  <si>
    <t>SUPUESTOS Y PARÁMETROS</t>
  </si>
  <si>
    <t>Alerta de licencias</t>
  </si>
  <si>
    <t>Una licencia se marca 'Por vencer' cuando faltan 60 días o menos para su vencimiento (parámetro editable en Listas, celda T2).</t>
  </si>
  <si>
    <t>Alerta de renovación</t>
  </si>
  <si>
    <t>Un activo se marca 'Próximo a renovar' cuando le queda 1 año o menos de vida útil (parámetro editable en Listas, celda T3).</t>
  </si>
  <si>
    <t>Antigüedad</t>
  </si>
  <si>
    <t>Se calcula con la fecha de hoy y la fecha de adquisición (años = días / 365.25). Los datos de ejemplo son ficticios.</t>
  </si>
  <si>
    <t>Moneda</t>
  </si>
  <si>
    <t>Los importes están en soles (S/). Cambie el formato de celda si trabaja con otra moneda.</t>
  </si>
  <si>
    <t>RESUMEN DEL INVENTARIO TIC</t>
  </si>
  <si>
    <t>Todo se calcula automáticamente a partir de las demás hojas.</t>
  </si>
  <si>
    <t>Indicador</t>
  </si>
  <si>
    <t>Valor</t>
  </si>
  <si>
    <t>Activos por tipo</t>
  </si>
  <si>
    <t>Cantidad</t>
  </si>
  <si>
    <t>Valor (S/)</t>
  </si>
  <si>
    <t>Total de activos registrados</t>
  </si>
  <si>
    <t>Valor total de adquisición (S/)</t>
  </si>
  <si>
    <t>Activos operativos</t>
  </si>
  <si>
    <t>Activos con garantía vencida</t>
  </si>
  <si>
    <t>Activos a renovar (vida útil agotada)</t>
  </si>
  <si>
    <t>Activos próximos a renovar</t>
  </si>
  <si>
    <t>Licencias vencidas</t>
  </si>
  <si>
    <t>Licencias por vencer</t>
  </si>
  <si>
    <t>Mantenimientos pendientes o en proceso</t>
  </si>
  <si>
    <t>Activos por estado</t>
  </si>
  <si>
    <t>Activos por área</t>
  </si>
  <si>
    <t>INVENTARIO GENERAL DE ACTIVOS TIC</t>
  </si>
  <si>
    <t>Registre cada activo una sola vez. Columnas de encabezado gris = automáticas. Filas amarillas = ejemplos ficticios (reemplácelas).</t>
  </si>
  <si>
    <t>Código patrimonial / interno</t>
  </si>
  <si>
    <t>Tipo de activo</t>
  </si>
  <si>
    <t>Marca</t>
  </si>
  <si>
    <t>Modelo</t>
  </si>
  <si>
    <t>N° de serie</t>
  </si>
  <si>
    <t>Descripción</t>
  </si>
  <si>
    <t>Área / Dependencia</t>
  </si>
  <si>
    <t>Ubicación física</t>
  </si>
  <si>
    <t>Responsable / Usuario</t>
  </si>
  <si>
    <t>Fecha de adquisición</t>
  </si>
  <si>
    <t>Proveedor</t>
  </si>
  <si>
    <t>N° de OC / Factura</t>
  </si>
  <si>
    <t>Tipo de adquisición</t>
  </si>
  <si>
    <t>Valor de adquisición (S/)</t>
  </si>
  <si>
    <t>Vida útil (años)</t>
  </si>
  <si>
    <t>Fin de garantía</t>
  </si>
  <si>
    <t>Estado</t>
  </si>
  <si>
    <t>Conservación</t>
  </si>
  <si>
    <t>Criticidad</t>
  </si>
  <si>
    <t>Antigüedad (años)</t>
  </si>
  <si>
    <t>Estado de garantía</t>
  </si>
  <si>
    <t>Vida útil restante (años)</t>
  </si>
  <si>
    <t>Situación de renovación</t>
  </si>
  <si>
    <t>Observaciones</t>
  </si>
  <si>
    <t>PAT-0001</t>
  </si>
  <si>
    <t>Laptop</t>
  </si>
  <si>
    <t>Dell</t>
  </si>
  <si>
    <t>Latitude 5440</t>
  </si>
  <si>
    <t>7XK2P93</t>
  </si>
  <si>
    <t>Laptop de oficina 14 pulgadas</t>
  </si>
  <si>
    <t>Administración</t>
  </si>
  <si>
    <t>Piso 2 - Oficina 204</t>
  </si>
  <si>
    <t>Juan Pérez Quispe</t>
  </si>
  <si>
    <t>Proveedor Tecnológico S.A.C.</t>
  </si>
  <si>
    <t>OC-2023-0145</t>
  </si>
  <si>
    <t>Compra</t>
  </si>
  <si>
    <t>Operativo</t>
  </si>
  <si>
    <t>Bueno</t>
  </si>
  <si>
    <t>Media</t>
  </si>
  <si>
    <t>FILA DE EJEMPLO: reemplazar o borrar</t>
  </si>
  <si>
    <t>PAT-0002</t>
  </si>
  <si>
    <t>Servidor</t>
  </si>
  <si>
    <t>HPE</t>
  </si>
  <si>
    <t>ProLiant DL380 Gen11</t>
  </si>
  <si>
    <t>MXQ3340R5K</t>
  </si>
  <si>
    <t>Servidor de archivos y respaldo</t>
  </si>
  <si>
    <t>Tecnologías de la Información</t>
  </si>
  <si>
    <t>Sala de servidores - Rack 1</t>
  </si>
  <si>
    <t>Equipo de TI</t>
  </si>
  <si>
    <t>OC-2024-0087</t>
  </si>
  <si>
    <t>Nuevo</t>
  </si>
  <si>
    <t>Alta</t>
  </si>
  <si>
    <t>FILA DE EJEMPLO</t>
  </si>
  <si>
    <t>PAT-0003</t>
  </si>
  <si>
    <t>Switch</t>
  </si>
  <si>
    <t>Cisco</t>
  </si>
  <si>
    <t>Catalyst 9200L-24P</t>
  </si>
  <si>
    <t>FOC2512L0AB</t>
  </si>
  <si>
    <t>Switch de acceso 24 puertos PoE+</t>
  </si>
  <si>
    <t>OC-2022-0012</t>
  </si>
  <si>
    <t>PAT-0004</t>
  </si>
  <si>
    <t>Multifuncional</t>
  </si>
  <si>
    <t>HP</t>
  </si>
  <si>
    <t>LaserJet Pro MFP M428fdw</t>
  </si>
  <si>
    <t>PHBLN12345</t>
  </si>
  <si>
    <t>Multifuncional láser monocromática</t>
  </si>
  <si>
    <t>Piso 2 - Pasillo</t>
  </si>
  <si>
    <t>Área de Administración</t>
  </si>
  <si>
    <t>OC-2025-0031</t>
  </si>
  <si>
    <t>Baja</t>
  </si>
  <si>
    <t>FICHA TÉCNICA DE ACTIVO TIC</t>
  </si>
  <si>
    <t>Código del activo:</t>
  </si>
  <si>
    <t>← Elija o escriba el código; la ficha se completa sola.</t>
  </si>
  <si>
    <t>1. IDENTIFICACIÓN</t>
  </si>
  <si>
    <t>2. UBICACIÓN Y RESPONSABLE</t>
  </si>
  <si>
    <t>3. ADQUISICIÓN</t>
  </si>
  <si>
    <t>Valor de adquisición</t>
  </si>
  <si>
    <t>4. GARANTÍA Y CICLO DE VIDA</t>
  </si>
  <si>
    <t>5. CARACTERÍSTICAS TÉCNICAS (si es equipo de cómputo)</t>
  </si>
  <si>
    <t>Procesador</t>
  </si>
  <si>
    <t>Memoria RAM (GB)</t>
  </si>
  <si>
    <t>Tipo de almacenamiento</t>
  </si>
  <si>
    <t>Capacidad (GB)</t>
  </si>
  <si>
    <t>Sistema operativo</t>
  </si>
  <si>
    <t>Nombre de equipo</t>
  </si>
  <si>
    <t>Dirección IP</t>
  </si>
  <si>
    <t>Dirección MAC</t>
  </si>
  <si>
    <t>6. HISTORIAL DE MANTENIMIENTO</t>
  </si>
  <si>
    <t>N° de mantenimientos</t>
  </si>
  <si>
    <t>Costo acumulado</t>
  </si>
  <si>
    <t>Último mantenimiento</t>
  </si>
  <si>
    <t>____________________________</t>
  </si>
  <si>
    <t>Elaborado por (TI)</t>
  </si>
  <si>
    <t>Responsable del activo</t>
  </si>
  <si>
    <t>Jefe / Visto bueno</t>
  </si>
  <si>
    <t>Fecha: ____ / ____ / ________</t>
  </si>
  <si>
    <t>FICHA TÉCNICA – EQUIPOS DE CÓMPUTO</t>
  </si>
  <si>
    <t>Laptops, PC, all-in-one, workstations y tablets. Elija el código (debe existir en 'Inventario General'); marca, modelo y responsable se traen solos.</t>
  </si>
  <si>
    <t>Código patrimonial</t>
  </si>
  <si>
    <t>Responsable</t>
  </si>
  <si>
    <t>Tipo de equipo</t>
  </si>
  <si>
    <t>Velocidad / Generación</t>
  </si>
  <si>
    <t>N° de núcleos</t>
  </si>
  <si>
    <t>Tipo de RAM</t>
  </si>
  <si>
    <t>Capacidad de almacenamiento (GB)</t>
  </si>
  <si>
    <t>Tarjeta gráfica</t>
  </si>
  <si>
    <t>Pantalla (pulgadas)</t>
  </si>
  <si>
    <t>Versión del SO</t>
  </si>
  <si>
    <t>Nombre de equipo (hostname)</t>
  </si>
  <si>
    <t>Dominio / Grupo de trabajo</t>
  </si>
  <si>
    <t>Antivirus / EDR</t>
  </si>
  <si>
    <t>Disco cifrado</t>
  </si>
  <si>
    <t>Puertos principales</t>
  </si>
  <si>
    <t>Accesorios incluidos</t>
  </si>
  <si>
    <t>Intel Core i7-1355U</t>
  </si>
  <si>
    <t>1.7 GHz (13.ª gen.)</t>
  </si>
  <si>
    <t>DDR5</t>
  </si>
  <si>
    <t>SSD</t>
  </si>
  <si>
    <t>Intel Iris Xe</t>
  </si>
  <si>
    <t>Windows 11 Pro</t>
  </si>
  <si>
    <t>23H2</t>
  </si>
  <si>
    <t>ADM-LT-001</t>
  </si>
  <si>
    <t>192.168.10.45</t>
  </si>
  <si>
    <t>A4:BB:6D:12:34:56</t>
  </si>
  <si>
    <t>empresa.local</t>
  </si>
  <si>
    <t>Microsoft Defender</t>
  </si>
  <si>
    <t>Sí</t>
  </si>
  <si>
    <t>2 USB-C, 2 USB-A, HDMI, RJ-45</t>
  </si>
  <si>
    <t>Cargador, mochila</t>
  </si>
  <si>
    <t>FICHA TÉCNICA – SERVIDORES</t>
  </si>
  <si>
    <t>Servidores físicos y virtuales. Elija el código del inventario; los datos generales se traen solos.</t>
  </si>
  <si>
    <t>Tipo de servidor</t>
  </si>
  <si>
    <t>Rol principal</t>
  </si>
  <si>
    <t>N° de procesadores</t>
  </si>
  <si>
    <t>Núcleos totales</t>
  </si>
  <si>
    <t>Almacenamiento total (TB)</t>
  </si>
  <si>
    <t>Configuración RAID</t>
  </si>
  <si>
    <t>N° de fuentes de poder</t>
  </si>
  <si>
    <t>Hipervisor / Virtualización</t>
  </si>
  <si>
    <t>N° de máquinas virtuales</t>
  </si>
  <si>
    <t>Ubicación en rack (U)</t>
  </si>
  <si>
    <t>Consumo (W)</t>
  </si>
  <si>
    <t>UPS asociado (código)</t>
  </si>
  <si>
    <t>Frecuencia de respaldo</t>
  </si>
  <si>
    <t>Último respaldo</t>
  </si>
  <si>
    <t>Rack</t>
  </si>
  <si>
    <t>Archivos</t>
  </si>
  <si>
    <t>Intel Xeon Silver 4410Y</t>
  </si>
  <si>
    <t>RAID 5</t>
  </si>
  <si>
    <t>Windows Server 2022</t>
  </si>
  <si>
    <t>SRV-FILE-01</t>
  </si>
  <si>
    <t>192.168.10.10</t>
  </si>
  <si>
    <t>Hyper-V</t>
  </si>
  <si>
    <t>U10–U12 (2U)</t>
  </si>
  <si>
    <t>UPS-01</t>
  </si>
  <si>
    <t>Diario</t>
  </si>
  <si>
    <t>FICHA TÉCNICA – RED Y COMUNICACIONES</t>
  </si>
  <si>
    <t>Switches, routers, firewalls, access points y demás equipos de red.</t>
  </si>
  <si>
    <t>Tipo de equipo de red</t>
  </si>
  <si>
    <t>N° de puertos</t>
  </si>
  <si>
    <t>Velocidad de puertos</t>
  </si>
  <si>
    <t>PoE</t>
  </si>
  <si>
    <t>Administrable</t>
  </si>
  <si>
    <t>Versión de firmware</t>
  </si>
  <si>
    <t>IP de gestión</t>
  </si>
  <si>
    <t>VLAN configuradas</t>
  </si>
  <si>
    <t>Estándares / Protocolos</t>
  </si>
  <si>
    <t>Proveedor de internet (ISP)</t>
  </si>
  <si>
    <t>Ancho de banda contratado (Mbps)</t>
  </si>
  <si>
    <t>Ubicación (rack / sala)</t>
  </si>
  <si>
    <t>Último respaldo de configuración</t>
  </si>
  <si>
    <t>1 Gbps</t>
  </si>
  <si>
    <t>17.9.4</t>
  </si>
  <si>
    <t>192.168.10.2</t>
  </si>
  <si>
    <t>00:1B:54:AA:BB:CC</t>
  </si>
  <si>
    <t>10, 20, 30</t>
  </si>
  <si>
    <t>802.1Q, 802.3at (PoE+)</t>
  </si>
  <si>
    <t>ISP de ejemplo</t>
  </si>
  <si>
    <t>FICHA TÉCNICA – PERIFÉRICOS Y OTROS DISPOSITIVOS</t>
  </si>
  <si>
    <t>Impresoras, escáneres, monitores, proyectores, UPS, teléfonos IP, cámaras, etc.</t>
  </si>
  <si>
    <t>Tipo de periférico</t>
  </si>
  <si>
    <t>Conexión</t>
  </si>
  <si>
    <t>Resolución / Capacidad</t>
  </si>
  <si>
    <t>Dirección IP (si es de red)</t>
  </si>
  <si>
    <t>Consumibles (modelo)</t>
  </si>
  <si>
    <t>Contador de páginas / horas de uso</t>
  </si>
  <si>
    <t>Equipo asociado (código)</t>
  </si>
  <si>
    <t>Ethernet y USB</t>
  </si>
  <si>
    <t>1200 x 1200 dpi / 40 ppm</t>
  </si>
  <si>
    <t>192.168.10.60</t>
  </si>
  <si>
    <t>Tóner CF258A</t>
  </si>
  <si>
    <t>REGISTRO DE SOFTWARE Y LICENCIAS</t>
  </si>
  <si>
    <t>No guarde claves sensibles aquí si el archivo se comparte; use el número de contrato o una referencia al gestor de contraseñas.</t>
  </si>
  <si>
    <t>ID de licencia</t>
  </si>
  <si>
    <t>Software</t>
  </si>
  <si>
    <t>Versión</t>
  </si>
  <si>
    <t>Fabricante</t>
  </si>
  <si>
    <t>Tipo de licencia</t>
  </si>
  <si>
    <t>Cantidad adquirida</t>
  </si>
  <si>
    <t>Cantidad en uso</t>
  </si>
  <si>
    <t>Disponibles</t>
  </si>
  <si>
    <t>Clave / N° de contrato</t>
  </si>
  <si>
    <t>Fecha de vencimiento</t>
  </si>
  <si>
    <t>Estado de la licencia</t>
  </si>
  <si>
    <t>Costo (S/)</t>
  </si>
  <si>
    <t>Instalada en (código o descripción)</t>
  </si>
  <si>
    <t>Responsable de la licencia</t>
  </si>
  <si>
    <t>LIC-0001</t>
  </si>
  <si>
    <t>Microsoft 365 Business Standard</t>
  </si>
  <si>
    <t>2024</t>
  </si>
  <si>
    <t>Microsoft</t>
  </si>
  <si>
    <t>Suscripción anual</t>
  </si>
  <si>
    <t>Contrato MS-2025-118</t>
  </si>
  <si>
    <t>Equipos de usuario</t>
  </si>
  <si>
    <t>BITÁCORA DE MANTENIMIENTO</t>
  </si>
  <si>
    <t>Una fila por intervención. Alimenta el historial de la 'Ficha Individual' y los indicadores del 'Resumen'.</t>
  </si>
  <si>
    <t>N° de orden</t>
  </si>
  <si>
    <t>Código del activo</t>
  </si>
  <si>
    <t>Fecha</t>
  </si>
  <si>
    <t>Tipo de mantenimiento</t>
  </si>
  <si>
    <t>Descripción del problema / trabajo</t>
  </si>
  <si>
    <t>Repuestos / componentes cambiados</t>
  </si>
  <si>
    <t>Técnico / Proveedor</t>
  </si>
  <si>
    <t>Duración (horas)</t>
  </si>
  <si>
    <t>Estado de la orden</t>
  </si>
  <si>
    <t>Fecha del próximo mantenimiento</t>
  </si>
  <si>
    <t>Días para próximo mant.</t>
  </si>
  <si>
    <t>MNT-0001</t>
  </si>
  <si>
    <t>Preventivo</t>
  </si>
  <si>
    <t>Limpieza interna, actualización de BIOS y controladores</t>
  </si>
  <si>
    <t>Pasta térmica</t>
  </si>
  <si>
    <t>Cerrado</t>
  </si>
  <si>
    <t>HISTORIAL DE ASIGNACIONES</t>
  </si>
  <si>
    <t>Una fila por entrega. Al devolver el equipo, complete la fecha de devolución; el estado cambia solo.</t>
  </si>
  <si>
    <t>Usuario / Responsable</t>
  </si>
  <si>
    <t>DNI</t>
  </si>
  <si>
    <t>Cargo</t>
  </si>
  <si>
    <t>Fecha de asignación</t>
  </si>
  <si>
    <t>Fecha de devolución</t>
  </si>
  <si>
    <t>N° de acta / documento</t>
  </si>
  <si>
    <t>Estado de la asignación</t>
  </si>
  <si>
    <t>12345678</t>
  </si>
  <si>
    <t>Asistente administrativo</t>
  </si>
  <si>
    <t>Acta 012-2023</t>
  </si>
  <si>
    <t>FILA DE EJEMPLO (datos ficticios)</t>
  </si>
  <si>
    <t>Estado del activo</t>
  </si>
  <si>
    <t>Estado de conservación</t>
  </si>
  <si>
    <t>Área / Dependencia (editable)</t>
  </si>
  <si>
    <t>Sí / No</t>
  </si>
  <si>
    <t>Tipo de equipo de cómputo</t>
  </si>
  <si>
    <t>Rol del servidor</t>
  </si>
  <si>
    <t>Parámetros de alerta (editables)</t>
  </si>
  <si>
    <t>Dirección General</t>
  </si>
  <si>
    <t>Perpetua</t>
  </si>
  <si>
    <t>Pendiente</t>
  </si>
  <si>
    <t>Impresora</t>
  </si>
  <si>
    <t>Días de aviso para licencias 'Por vencer'</t>
  </si>
  <si>
    <t>PC de escritorio</t>
  </si>
  <si>
    <t>En reparación</t>
  </si>
  <si>
    <t>Arrendamiento (leasing)</t>
  </si>
  <si>
    <t>No</t>
  </si>
  <si>
    <t>Correctivo</t>
  </si>
  <si>
    <t>En proceso</t>
  </si>
  <si>
    <t>Windows 10 Pro</t>
  </si>
  <si>
    <t>Desktop</t>
  </si>
  <si>
    <t>NVMe</t>
  </si>
  <si>
    <t>Torre</t>
  </si>
  <si>
    <t>Base de datos</t>
  </si>
  <si>
    <t>Router</t>
  </si>
  <si>
    <t>Años de vida útil restante para 'Próximo a renovar'</t>
  </si>
  <si>
    <t>All-in-one</t>
  </si>
  <si>
    <t>En almacén</t>
  </si>
  <si>
    <t>Regular</t>
  </si>
  <si>
    <t>Contabilidad</t>
  </si>
  <si>
    <t>Donación</t>
  </si>
  <si>
    <t>Suscripción mensual</t>
  </si>
  <si>
    <t>Predictivo</t>
  </si>
  <si>
    <t>HDD</t>
  </si>
  <si>
    <t>Blade</t>
  </si>
  <si>
    <t>Aplicaciones</t>
  </si>
  <si>
    <t>Firewall</t>
  </si>
  <si>
    <t>Escáner</t>
  </si>
  <si>
    <t>Workstation</t>
  </si>
  <si>
    <t>Obsoleto</t>
  </si>
  <si>
    <t>Malo</t>
  </si>
  <si>
    <t>Logística</t>
  </si>
  <si>
    <t>Transferencia</t>
  </si>
  <si>
    <t>Por usuario (CAL)</t>
  </si>
  <si>
    <t>Actualización</t>
  </si>
  <si>
    <t>Windows Server 2019</t>
  </si>
  <si>
    <t>Híbrido</t>
  </si>
  <si>
    <t>Virtual</t>
  </si>
  <si>
    <t>Web</t>
  </si>
  <si>
    <t>Access Point</t>
  </si>
  <si>
    <t>Monitor</t>
  </si>
  <si>
    <t>Agregue nuevas opciones debajo de las existentes de cada columna (letra azul = editable).</t>
  </si>
  <si>
    <t>Tablet</t>
  </si>
  <si>
    <t>Dado de baja</t>
  </si>
  <si>
    <t>Recursos Humanos</t>
  </si>
  <si>
    <t>Comodato</t>
  </si>
  <si>
    <t>OEM</t>
  </si>
  <si>
    <t>Garantía</t>
  </si>
  <si>
    <t>Ubuntu Linux</t>
  </si>
  <si>
    <t>Correo</t>
  </si>
  <si>
    <t>Módem</t>
  </si>
  <si>
    <t>Proyector</t>
  </si>
  <si>
    <t>Extraviado</t>
  </si>
  <si>
    <t>Volumen</t>
  </si>
  <si>
    <t>Red Hat Enterprise Linux</t>
  </si>
  <si>
    <t>Respaldo</t>
  </si>
  <si>
    <t>Patch panel</t>
  </si>
  <si>
    <t>UPS</t>
  </si>
  <si>
    <t>NAS / Almacenamiento</t>
  </si>
  <si>
    <t>Legal</t>
  </si>
  <si>
    <t>Open Source</t>
  </si>
  <si>
    <t>macOS</t>
  </si>
  <si>
    <t>Virtualización</t>
  </si>
  <si>
    <t>Repetidor</t>
  </si>
  <si>
    <t>Teléfono IP</t>
  </si>
  <si>
    <t>Almacén</t>
  </si>
  <si>
    <t>Android</t>
  </si>
  <si>
    <t>Controlador de dominio</t>
  </si>
  <si>
    <t>Otro</t>
  </si>
  <si>
    <t>Cámara</t>
  </si>
  <si>
    <t>Atención al usuario</t>
  </si>
  <si>
    <t>Lector biométrico</t>
  </si>
  <si>
    <t>Cámara / CCTV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</si>
</sst>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 &quot;#,##0.00"/>
    <numFmt numFmtId="165" formatCode="0.0"/>
    <numFmt numFmtId="166" formatCode="#,##0.0"/>
  </numFmts>
  <fonts count="14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9"/>
      <color rgb="FF595959"/>
      <name val="Arial"/>
      <charset val="1"/>
    </font>
    <font>
      <b/>
      <sz val="14"/>
      <color rgb="FF1F3864"/>
      <name val="Arial"/>
      <charset val="1"/>
    </font>
    <font>
      <b/>
      <sz val="11"/>
      <color rgb="FF000000"/>
      <name val="Arial"/>
      <charset val="1"/>
    </font>
    <font>
      <b/>
      <sz val="11"/>
      <color rgb="FF0000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95959"/>
        <bgColor rgb="FF7F7F7F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3" fillId="2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4" fillId="5" borderId="0" xfId="0" applyFont="1" applyFill="1" applyAlignment="1">
      <alignment vertical="top"/>
    </xf>
    <xf numFmtId="0" fontId="6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3" fontId="4" fillId="5" borderId="1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164" fontId="4" fillId="5" borderId="1" xfId="0" applyNumberFormat="1" applyFont="1" applyFill="1" applyBorder="1"/>
    <xf numFmtId="0" fontId="7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14" fontId="5" fillId="4" borderId="1" xfId="0" applyNumberFormat="1" applyFont="1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1" fontId="5" fillId="4" borderId="1" xfId="0" applyNumberFormat="1" applyFont="1" applyFill="1" applyBorder="1" applyAlignment="1">
      <alignment vertical="center"/>
    </xf>
    <xf numFmtId="165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0" fontId="8" fillId="0" borderId="0" xfId="0" applyFont="1"/>
    <xf numFmtId="0" fontId="9" fillId="6" borderId="1" xfId="0" applyFont="1" applyFill="1" applyBorder="1"/>
    <xf numFmtId="0" fontId="4" fillId="5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left" vertical="center" wrapText="1"/>
    </xf>
    <xf numFmtId="0" fontId="5" fillId="0" borderId="0" xfId="0" applyFont="1"/>
    <xf numFmtId="0" fontId="10" fillId="0" borderId="0" xfId="0" applyFont="1"/>
    <xf numFmtId="0" fontId="11" fillId="0" borderId="0" xfId="0" applyFont="1"/>
    <xf numFmtId="3" fontId="5" fillId="4" borderId="1" xfId="0" applyNumberFormat="1" applyFont="1" applyFill="1" applyBorder="1" applyAlignment="1">
      <alignment vertical="center"/>
    </xf>
    <xf numFmtId="165" fontId="5" fillId="4" borderId="1" xfId="0" applyNumberFormat="1" applyFont="1" applyFill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5" fillId="4" borderId="1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3" fontId="5" fillId="5" borderId="1" xfId="0" applyNumberFormat="1" applyFont="1" applyFill="1" applyBorder="1" applyAlignment="1">
      <alignment vertical="center"/>
    </xf>
    <xf numFmtId="1" fontId="5" fillId="5" borderId="1" xfId="0" applyNumberFormat="1" applyFont="1" applyFill="1" applyBorder="1" applyAlignment="1">
      <alignment vertical="center"/>
    </xf>
    <xf numFmtId="49" fontId="5" fillId="4" borderId="1" xfId="0" applyNumberFormat="1" applyFont="1" applyFill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3" borderId="0" xfId="0" applyFont="1" applyFill="1"/>
    <xf numFmtId="0" fontId="0" fillId="3" borderId="0" xfId="0" applyFill="1"/>
    <xf numFmtId="0" fontId="12" fillId="0" borderId="0" xfId="0" applyFont="1"/>
    <xf numFmtId="0" fontId="13" fillId="6" borderId="1" xfId="0" applyFont="1" applyFill="1" applyBorder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18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8CBAD"/>
        </patternFill>
      </fill>
    </dxf>
    <dxf>
      <font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8CBAD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8CBAD"/>
        </patternFill>
      </fill>
    </dxf>
    <dxf>
      <font>
        <color rgb="FF9C0006"/>
        <name val="Arial"/>
        <charset val="1"/>
      </font>
      <fill>
        <patternFill>
          <bgColor rgb="FFF8CBAD"/>
        </patternFill>
      </fill>
    </dxf>
    <dxf>
      <font>
        <color rgb="FF9C0006"/>
        <name val="Arial"/>
        <charset val="1"/>
      </font>
      <fill>
        <patternFill>
          <bgColor rgb="FFF8CBAD"/>
        </patternFill>
      </fill>
    </dxf>
    <dxf>
      <font>
        <color rgb="FF9C0006"/>
        <name val="Arial"/>
        <charset val="1"/>
      </font>
      <fill>
        <patternFill>
          <bgColor rgb="FFF8CBAD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EB9C"/>
      <rgbColor rgb="FF99CCFF"/>
      <rgbColor rgb="FFFF99CC"/>
      <rgbColor rgb="FFCC99FF"/>
      <rgbColor rgb="FFF8CBAD"/>
      <rgbColor rgb="FF2E75B6"/>
      <rgbColor rgb="FF33CCCC"/>
      <rgbColor rgb="FF70AD47"/>
      <rgbColor rgb="FFFFCC00"/>
      <rgbColor rgb="FFFF9900"/>
      <rgbColor rgb="FFED7D31"/>
      <rgbColor rgb="FF595959"/>
      <rgbColor rgb="FF878787"/>
      <rgbColor rgb="FF1F3864"/>
      <rgbColor rgb="FF4F81BD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Activos por tipo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Resumen!$E$3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Resumen!$D$4:$D$23</c:f>
              <c:strCache>
                <c:ptCount val="20"/>
                <c:pt idx="0">
                  <c:v>Laptop</c:v>
                </c:pt>
                <c:pt idx="1">
                  <c:v>PC de escritorio</c:v>
                </c:pt>
                <c:pt idx="2">
                  <c:v>All-in-one</c:v>
                </c:pt>
                <c:pt idx="3">
                  <c:v>Workstation</c:v>
                </c:pt>
                <c:pt idx="4">
                  <c:v>Tablet</c:v>
                </c:pt>
                <c:pt idx="5">
                  <c:v>Servidor</c:v>
                </c:pt>
                <c:pt idx="6">
                  <c:v>NAS / Almacenamiento</c:v>
                </c:pt>
                <c:pt idx="7">
                  <c:v>Switch</c:v>
                </c:pt>
                <c:pt idx="8">
                  <c:v>Router</c:v>
                </c:pt>
                <c:pt idx="9">
                  <c:v>Firewall</c:v>
                </c:pt>
                <c:pt idx="10">
                  <c:v>Access Point</c:v>
                </c:pt>
                <c:pt idx="11">
                  <c:v>Impresora</c:v>
                </c:pt>
                <c:pt idx="12">
                  <c:v>Multifuncional</c:v>
                </c:pt>
                <c:pt idx="13">
                  <c:v>Escáner</c:v>
                </c:pt>
                <c:pt idx="14">
                  <c:v>Monitor</c:v>
                </c:pt>
                <c:pt idx="15">
                  <c:v>Proyector</c:v>
                </c:pt>
                <c:pt idx="16">
                  <c:v>UPS</c:v>
                </c:pt>
                <c:pt idx="17">
                  <c:v>Teléfono IP</c:v>
                </c:pt>
                <c:pt idx="18">
                  <c:v>Cámara / CCTV</c:v>
                </c:pt>
                <c:pt idx="19">
                  <c:v>Otro</c:v>
                </c:pt>
              </c:strCache>
            </c:strRef>
          </c:cat>
          <c:val>
            <c:numRef>
              <c:f>Resumen!$E$4:$E$23</c:f>
              <c:numCache>
                <c:formatCode>General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F-4718-B289-3C74D8BEC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40736"/>
        <c:axId val="39602286"/>
      </c:barChart>
      <c:catAx>
        <c:axId val="6174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9602286"/>
        <c:crosses val="autoZero"/>
        <c:auto val="1"/>
        <c:lblAlgn val="ctr"/>
        <c:lblOffset val="100"/>
        <c:noMultiLvlLbl val="0"/>
      </c:catAx>
      <c:valAx>
        <c:axId val="396022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17407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130680</xdr:rowOff>
    </xdr:from>
    <xdr:to>
      <xdr:col>17</xdr:col>
      <xdr:colOff>4680</xdr:colOff>
      <xdr:row>22</xdr:row>
      <xdr:rowOff>90000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B33"/>
  <sheetViews>
    <sheetView showGridLines="0" topLeftCell="A5" zoomScaleNormal="100" workbookViewId="0"/>
  </sheetViews>
  <sheetFormatPr baseColWidth="10" defaultColWidth="8.7109375" defaultRowHeight="15" x14ac:dyDescent="0.25"/>
  <cols>
    <col min="1" max="1" width="30" customWidth="1"/>
    <col min="2" max="2" width="105" customWidth="1"/>
  </cols>
  <sheetData>
    <row r="1" spans="1:2" ht="20.25" x14ac:dyDescent="0.3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/>
    </row>
    <row r="5" spans="1:2" ht="38.25" x14ac:dyDescent="0.25">
      <c r="A5" s="5" t="s">
        <v>3</v>
      </c>
      <c r="B5" s="6" t="s">
        <v>4</v>
      </c>
    </row>
    <row r="6" spans="1:2" x14ac:dyDescent="0.25">
      <c r="A6" s="3" t="s">
        <v>5</v>
      </c>
      <c r="B6" s="4"/>
    </row>
    <row r="7" spans="1:2" x14ac:dyDescent="0.25">
      <c r="A7" s="5" t="s">
        <v>6</v>
      </c>
      <c r="B7" s="6" t="s">
        <v>7</v>
      </c>
    </row>
    <row r="8" spans="1:2" ht="25.5" x14ac:dyDescent="0.25">
      <c r="A8" s="5" t="s">
        <v>8</v>
      </c>
      <c r="B8" s="6" t="s">
        <v>9</v>
      </c>
    </row>
    <row r="9" spans="1:2" ht="25.5" x14ac:dyDescent="0.25">
      <c r="A9" s="5" t="s">
        <v>10</v>
      </c>
      <c r="B9" s="6" t="s">
        <v>11</v>
      </c>
    </row>
    <row r="10" spans="1:2" x14ac:dyDescent="0.25">
      <c r="A10" s="5" t="s">
        <v>12</v>
      </c>
      <c r="B10" s="6" t="s">
        <v>13</v>
      </c>
    </row>
    <row r="11" spans="1:2" ht="25.5" x14ac:dyDescent="0.25">
      <c r="A11" s="5" t="s">
        <v>14</v>
      </c>
      <c r="B11" s="6" t="s">
        <v>15</v>
      </c>
    </row>
    <row r="12" spans="1:2" x14ac:dyDescent="0.25">
      <c r="A12" s="3" t="s">
        <v>16</v>
      </c>
      <c r="B12" s="4"/>
    </row>
    <row r="13" spans="1:2" x14ac:dyDescent="0.25">
      <c r="A13" s="7" t="s">
        <v>17</v>
      </c>
      <c r="B13" s="6" t="s">
        <v>18</v>
      </c>
    </row>
    <row r="14" spans="1:2" x14ac:dyDescent="0.25">
      <c r="A14" s="8" t="s">
        <v>19</v>
      </c>
      <c r="B14" s="6" t="s">
        <v>20</v>
      </c>
    </row>
    <row r="15" spans="1:2" x14ac:dyDescent="0.25">
      <c r="A15" s="9" t="s">
        <v>21</v>
      </c>
      <c r="B15" s="6" t="s">
        <v>22</v>
      </c>
    </row>
    <row r="16" spans="1:2" x14ac:dyDescent="0.25">
      <c r="A16" s="10" t="s">
        <v>23</v>
      </c>
      <c r="B16" s="6" t="s">
        <v>24</v>
      </c>
    </row>
    <row r="17" spans="1:2" x14ac:dyDescent="0.25">
      <c r="A17" s="3" t="s">
        <v>25</v>
      </c>
      <c r="B17" s="4"/>
    </row>
    <row r="18" spans="1:2" ht="25.5" x14ac:dyDescent="0.25">
      <c r="A18" s="5" t="s">
        <v>26</v>
      </c>
      <c r="B18" s="6" t="s">
        <v>27</v>
      </c>
    </row>
    <row r="19" spans="1:2" ht="25.5" x14ac:dyDescent="0.25">
      <c r="A19" s="5" t="s">
        <v>28</v>
      </c>
      <c r="B19" s="6" t="s">
        <v>29</v>
      </c>
    </row>
    <row r="20" spans="1:2" x14ac:dyDescent="0.25">
      <c r="A20" s="5" t="s">
        <v>30</v>
      </c>
      <c r="B20" s="6" t="s">
        <v>31</v>
      </c>
    </row>
    <row r="21" spans="1:2" x14ac:dyDescent="0.25">
      <c r="A21" s="5" t="s">
        <v>32</v>
      </c>
      <c r="B21" s="6" t="s">
        <v>33</v>
      </c>
    </row>
    <row r="22" spans="1:2" x14ac:dyDescent="0.25">
      <c r="A22" s="5" t="s">
        <v>34</v>
      </c>
      <c r="B22" s="6" t="s">
        <v>35</v>
      </c>
    </row>
    <row r="23" spans="1:2" x14ac:dyDescent="0.25">
      <c r="A23" s="5" t="s">
        <v>36</v>
      </c>
      <c r="B23" s="6" t="s">
        <v>37</v>
      </c>
    </row>
    <row r="24" spans="1:2" x14ac:dyDescent="0.25">
      <c r="A24" s="5" t="s">
        <v>38</v>
      </c>
      <c r="B24" s="6" t="s">
        <v>39</v>
      </c>
    </row>
    <row r="25" spans="1:2" x14ac:dyDescent="0.25">
      <c r="A25" s="5" t="s">
        <v>40</v>
      </c>
      <c r="B25" s="6" t="s">
        <v>41</v>
      </c>
    </row>
    <row r="26" spans="1:2" x14ac:dyDescent="0.25">
      <c r="A26" s="5" t="s">
        <v>42</v>
      </c>
      <c r="B26" s="6" t="s">
        <v>43</v>
      </c>
    </row>
    <row r="27" spans="1:2" x14ac:dyDescent="0.25">
      <c r="A27" s="5" t="s">
        <v>44</v>
      </c>
      <c r="B27" s="6" t="s">
        <v>45</v>
      </c>
    </row>
    <row r="28" spans="1:2" x14ac:dyDescent="0.25">
      <c r="A28" s="5" t="s">
        <v>46</v>
      </c>
      <c r="B28" s="6" t="s">
        <v>47</v>
      </c>
    </row>
    <row r="29" spans="1:2" x14ac:dyDescent="0.25">
      <c r="A29" s="3" t="s">
        <v>48</v>
      </c>
      <c r="B29" s="4"/>
    </row>
    <row r="30" spans="1:2" ht="25.5" x14ac:dyDescent="0.25">
      <c r="A30" s="5" t="s">
        <v>49</v>
      </c>
      <c r="B30" s="6" t="s">
        <v>50</v>
      </c>
    </row>
    <row r="31" spans="1:2" ht="25.5" x14ac:dyDescent="0.25">
      <c r="A31" s="5" t="s">
        <v>51</v>
      </c>
      <c r="B31" s="6" t="s">
        <v>52</v>
      </c>
    </row>
    <row r="32" spans="1:2" x14ac:dyDescent="0.25">
      <c r="A32" s="5" t="s">
        <v>53</v>
      </c>
      <c r="B32" s="6" t="s">
        <v>54</v>
      </c>
    </row>
    <row r="33" spans="1:2" x14ac:dyDescent="0.25">
      <c r="A33" s="5" t="s">
        <v>55</v>
      </c>
      <c r="B33" s="6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38"/>
  <sheetViews>
    <sheetView showGridLines="0" zoomScaleNormal="100" workbookViewId="0"/>
  </sheetViews>
  <sheetFormatPr baseColWidth="10" defaultColWidth="8.7109375" defaultRowHeight="15" x14ac:dyDescent="0.25"/>
  <cols>
    <col min="1" max="1" width="40" customWidth="1"/>
    <col min="2" max="3" width="16" customWidth="1"/>
    <col min="4" max="4" width="28" customWidth="1"/>
    <col min="5" max="5" width="12" customWidth="1"/>
    <col min="6" max="6" width="18" customWidth="1"/>
  </cols>
  <sheetData>
    <row r="1" spans="1:6" ht="20.25" x14ac:dyDescent="0.3">
      <c r="A1" s="1" t="s">
        <v>57</v>
      </c>
    </row>
    <row r="2" spans="1:6" x14ac:dyDescent="0.25">
      <c r="A2" s="11" t="s">
        <v>58</v>
      </c>
    </row>
    <row r="3" spans="1:6" x14ac:dyDescent="0.25">
      <c r="A3" s="12" t="s">
        <v>59</v>
      </c>
      <c r="B3" s="12" t="s">
        <v>60</v>
      </c>
      <c r="D3" s="12" t="s">
        <v>61</v>
      </c>
      <c r="E3" s="12" t="s">
        <v>62</v>
      </c>
      <c r="F3" s="12" t="s">
        <v>63</v>
      </c>
    </row>
    <row r="4" spans="1:6" x14ac:dyDescent="0.25">
      <c r="A4" s="13" t="s">
        <v>64</v>
      </c>
      <c r="B4" s="14">
        <f>COUNTA('Inventario General'!$A$5:$A$304)</f>
        <v>4</v>
      </c>
      <c r="D4" s="15" t="str">
        <f>IF(Listas!A2="","",Listas!A2)</f>
        <v>Laptop</v>
      </c>
      <c r="E4" s="15">
        <f>IF(D4="","",COUNTIF('Inventario General'!$B$5:$B$304,D4))</f>
        <v>1</v>
      </c>
      <c r="F4" s="16">
        <f>IF(D4="","",SUMIF('Inventario General'!$B$5:$B$304,D4,'Inventario General'!$N$5:$N$304))</f>
        <v>3850</v>
      </c>
    </row>
    <row r="5" spans="1:6" x14ac:dyDescent="0.25">
      <c r="A5" s="13" t="s">
        <v>65</v>
      </c>
      <c r="B5" s="17">
        <f>SUM('Inventario General'!$N$5:$N$304)</f>
        <v>40400</v>
      </c>
      <c r="D5" s="15" t="str">
        <f>IF(Listas!A3="","",Listas!A3)</f>
        <v>PC de escritorio</v>
      </c>
      <c r="E5" s="15">
        <f>IF(D5="","",COUNTIF('Inventario General'!$B$5:$B$304,D5))</f>
        <v>0</v>
      </c>
      <c r="F5" s="16">
        <f>IF(D5="","",SUMIF('Inventario General'!$B$5:$B$304,D5,'Inventario General'!$N$5:$N$304))</f>
        <v>0</v>
      </c>
    </row>
    <row r="6" spans="1:6" x14ac:dyDescent="0.25">
      <c r="A6" s="13" t="s">
        <v>66</v>
      </c>
      <c r="B6" s="14">
        <f>COUNTIF('Inventario General'!$Q$5:$Q$304,"Operativo")</f>
        <v>4</v>
      </c>
      <c r="D6" s="15" t="str">
        <f>IF(Listas!A4="","",Listas!A4)</f>
        <v>All-in-one</v>
      </c>
      <c r="E6" s="15">
        <f>IF(D6="","",COUNTIF('Inventario General'!$B$5:$B$304,D6))</f>
        <v>0</v>
      </c>
      <c r="F6" s="16">
        <f>IF(D6="","",SUMIF('Inventario General'!$B$5:$B$304,D6,'Inventario General'!$N$5:$N$304))</f>
        <v>0</v>
      </c>
    </row>
    <row r="7" spans="1:6" x14ac:dyDescent="0.25">
      <c r="A7" s="13" t="s">
        <v>67</v>
      </c>
      <c r="B7" s="14">
        <f ca="1">COUNTIF('Inventario General'!$U$5:$U$304,"Vencida")</f>
        <v>2</v>
      </c>
      <c r="D7" s="15" t="str">
        <f>IF(Listas!A5="","",Listas!A5)</f>
        <v>Workstation</v>
      </c>
      <c r="E7" s="15">
        <f>IF(D7="","",COUNTIF('Inventario General'!$B$5:$B$304,D7))</f>
        <v>0</v>
      </c>
      <c r="F7" s="16">
        <f>IF(D7="","",SUMIF('Inventario General'!$B$5:$B$304,D7,'Inventario General'!$N$5:$N$304))</f>
        <v>0</v>
      </c>
    </row>
    <row r="8" spans="1:6" x14ac:dyDescent="0.25">
      <c r="A8" s="13" t="s">
        <v>68</v>
      </c>
      <c r="B8" s="14">
        <f ca="1">COUNTIF('Inventario General'!$W$5:$W$304,"Renovar")</f>
        <v>0</v>
      </c>
      <c r="D8" s="15" t="str">
        <f>IF(Listas!A6="","",Listas!A6)</f>
        <v>Tablet</v>
      </c>
      <c r="E8" s="15">
        <f>IF(D8="","",COUNTIF('Inventario General'!$B$5:$B$304,D8))</f>
        <v>0</v>
      </c>
      <c r="F8" s="16">
        <f>IF(D8="","",SUMIF('Inventario General'!$B$5:$B$304,D8,'Inventario General'!$N$5:$N$304))</f>
        <v>0</v>
      </c>
    </row>
    <row r="9" spans="1:6" x14ac:dyDescent="0.25">
      <c r="A9" s="13" t="s">
        <v>69</v>
      </c>
      <c r="B9" s="14">
        <f ca="1">COUNTIF('Inventario General'!$W$5:$W$304,"Próximo a renovar")</f>
        <v>1</v>
      </c>
      <c r="D9" s="15" t="str">
        <f>IF(Listas!A7="","",Listas!A7)</f>
        <v>Servidor</v>
      </c>
      <c r="E9" s="15">
        <f>IF(D9="","",COUNTIF('Inventario General'!$B$5:$B$304,D9))</f>
        <v>1</v>
      </c>
      <c r="F9" s="16">
        <f>IF(D9="","",SUMIF('Inventario General'!$B$5:$B$304,D9,'Inventario General'!$N$5:$N$304))</f>
        <v>28500</v>
      </c>
    </row>
    <row r="10" spans="1:6" x14ac:dyDescent="0.25">
      <c r="A10" s="13" t="s">
        <v>70</v>
      </c>
      <c r="B10" s="14">
        <f ca="1">COUNTIF('Software y Licencias'!$L$5:$L$204,"Vencida")</f>
        <v>0</v>
      </c>
      <c r="D10" s="15" t="str">
        <f>IF(Listas!A8="","",Listas!A8)</f>
        <v>NAS / Almacenamiento</v>
      </c>
      <c r="E10" s="15">
        <f>IF(D10="","",COUNTIF('Inventario General'!$B$5:$B$304,D10))</f>
        <v>0</v>
      </c>
      <c r="F10" s="16">
        <f>IF(D10="","",SUMIF('Inventario General'!$B$5:$B$304,D10,'Inventario General'!$N$5:$N$304))</f>
        <v>0</v>
      </c>
    </row>
    <row r="11" spans="1:6" x14ac:dyDescent="0.25">
      <c r="A11" s="13" t="s">
        <v>71</v>
      </c>
      <c r="B11" s="14">
        <f ca="1">COUNTIF('Software y Licencias'!$L$5:$L$204,"Por vencer")</f>
        <v>1</v>
      </c>
      <c r="D11" s="15" t="str">
        <f>IF(Listas!A9="","",Listas!A9)</f>
        <v>Switch</v>
      </c>
      <c r="E11" s="15">
        <f>IF(D11="","",COUNTIF('Inventario General'!$B$5:$B$304,D11))</f>
        <v>1</v>
      </c>
      <c r="F11" s="16">
        <f>IF(D11="","",SUMIF('Inventario General'!$B$5:$B$304,D11,'Inventario General'!$N$5:$N$304))</f>
        <v>6200</v>
      </c>
    </row>
    <row r="12" spans="1:6" x14ac:dyDescent="0.25">
      <c r="A12" s="13" t="s">
        <v>72</v>
      </c>
      <c r="B12" s="14">
        <f>COUNTIF(Mantenimiento!$L$5:$L$204,"Pendiente")+COUNTIF(Mantenimiento!$L$5:$L$204,"En proceso")</f>
        <v>0</v>
      </c>
      <c r="D12" s="15" t="str">
        <f>IF(Listas!A10="","",Listas!A10)</f>
        <v>Router</v>
      </c>
      <c r="E12" s="15">
        <f>IF(D12="","",COUNTIF('Inventario General'!$B$5:$B$304,D12))</f>
        <v>0</v>
      </c>
      <c r="F12" s="16">
        <f>IF(D12="","",SUMIF('Inventario General'!$B$5:$B$304,D12,'Inventario General'!$N$5:$N$304))</f>
        <v>0</v>
      </c>
    </row>
    <row r="13" spans="1:6" x14ac:dyDescent="0.25">
      <c r="D13" s="15" t="str">
        <f>IF(Listas!A11="","",Listas!A11)</f>
        <v>Firewall</v>
      </c>
      <c r="E13" s="15">
        <f>IF(D13="","",COUNTIF('Inventario General'!$B$5:$B$304,D13))</f>
        <v>0</v>
      </c>
      <c r="F13" s="16">
        <f>IF(D13="","",SUMIF('Inventario General'!$B$5:$B$304,D13,'Inventario General'!$N$5:$N$304))</f>
        <v>0</v>
      </c>
    </row>
    <row r="14" spans="1:6" x14ac:dyDescent="0.25">
      <c r="D14" s="15" t="str">
        <f>IF(Listas!A12="","",Listas!A12)</f>
        <v>Access Point</v>
      </c>
      <c r="E14" s="15">
        <f>IF(D14="","",COUNTIF('Inventario General'!$B$5:$B$304,D14))</f>
        <v>0</v>
      </c>
      <c r="F14" s="16">
        <f>IF(D14="","",SUMIF('Inventario General'!$B$5:$B$304,D14,'Inventario General'!$N$5:$N$304))</f>
        <v>0</v>
      </c>
    </row>
    <row r="15" spans="1:6" x14ac:dyDescent="0.25">
      <c r="A15" s="12" t="s">
        <v>73</v>
      </c>
      <c r="B15" s="12" t="s">
        <v>62</v>
      </c>
      <c r="D15" s="15" t="str">
        <f>IF(Listas!A13="","",Listas!A13)</f>
        <v>Impresora</v>
      </c>
      <c r="E15" s="15">
        <f>IF(D15="","",COUNTIF('Inventario General'!$B$5:$B$304,D15))</f>
        <v>0</v>
      </c>
      <c r="F15" s="16">
        <f>IF(D15="","",SUMIF('Inventario General'!$B$5:$B$304,D15,'Inventario General'!$N$5:$N$304))</f>
        <v>0</v>
      </c>
    </row>
    <row r="16" spans="1:6" x14ac:dyDescent="0.25">
      <c r="A16" s="15" t="str">
        <f>IF(Listas!B2="","",Listas!B2)</f>
        <v>Operativo</v>
      </c>
      <c r="B16" s="15">
        <f>IF(A16="","",COUNTIF('Inventario General'!$Q$5:$Q$304,A16))</f>
        <v>4</v>
      </c>
      <c r="D16" s="15" t="str">
        <f>IF(Listas!A14="","",Listas!A14)</f>
        <v>Multifuncional</v>
      </c>
      <c r="E16" s="15">
        <f>IF(D16="","",COUNTIF('Inventario General'!$B$5:$B$304,D16))</f>
        <v>1</v>
      </c>
      <c r="F16" s="16">
        <f>IF(D16="","",SUMIF('Inventario General'!$B$5:$B$304,D16,'Inventario General'!$N$5:$N$304))</f>
        <v>1850</v>
      </c>
    </row>
    <row r="17" spans="1:6" x14ac:dyDescent="0.25">
      <c r="A17" s="15" t="str">
        <f>IF(Listas!B3="","",Listas!B3)</f>
        <v>En reparación</v>
      </c>
      <c r="B17" s="15">
        <f>IF(A17="","",COUNTIF('Inventario General'!$Q$5:$Q$304,A17))</f>
        <v>0</v>
      </c>
      <c r="D17" s="15" t="str">
        <f>IF(Listas!A15="","",Listas!A15)</f>
        <v>Escáner</v>
      </c>
      <c r="E17" s="15">
        <f>IF(D17="","",COUNTIF('Inventario General'!$B$5:$B$304,D17))</f>
        <v>0</v>
      </c>
      <c r="F17" s="16">
        <f>IF(D17="","",SUMIF('Inventario General'!$B$5:$B$304,D17,'Inventario General'!$N$5:$N$304))</f>
        <v>0</v>
      </c>
    </row>
    <row r="18" spans="1:6" x14ac:dyDescent="0.25">
      <c r="A18" s="15" t="str">
        <f>IF(Listas!B4="","",Listas!B4)</f>
        <v>En almacén</v>
      </c>
      <c r="B18" s="15">
        <f>IF(A18="","",COUNTIF('Inventario General'!$Q$5:$Q$304,A18))</f>
        <v>0</v>
      </c>
      <c r="D18" s="15" t="str">
        <f>IF(Listas!A16="","",Listas!A16)</f>
        <v>Monitor</v>
      </c>
      <c r="E18" s="15">
        <f>IF(D18="","",COUNTIF('Inventario General'!$B$5:$B$304,D18))</f>
        <v>0</v>
      </c>
      <c r="F18" s="16">
        <f>IF(D18="","",SUMIF('Inventario General'!$B$5:$B$304,D18,'Inventario General'!$N$5:$N$304))</f>
        <v>0</v>
      </c>
    </row>
    <row r="19" spans="1:6" x14ac:dyDescent="0.25">
      <c r="A19" s="15" t="str">
        <f>IF(Listas!B5="","",Listas!B5)</f>
        <v>Obsoleto</v>
      </c>
      <c r="B19" s="15">
        <f>IF(A19="","",COUNTIF('Inventario General'!$Q$5:$Q$304,A19))</f>
        <v>0</v>
      </c>
      <c r="D19" s="15" t="str">
        <f>IF(Listas!A17="","",Listas!A17)</f>
        <v>Proyector</v>
      </c>
      <c r="E19" s="15">
        <f>IF(D19="","",COUNTIF('Inventario General'!$B$5:$B$304,D19))</f>
        <v>0</v>
      </c>
      <c r="F19" s="16">
        <f>IF(D19="","",SUMIF('Inventario General'!$B$5:$B$304,D19,'Inventario General'!$N$5:$N$304))</f>
        <v>0</v>
      </c>
    </row>
    <row r="20" spans="1:6" x14ac:dyDescent="0.25">
      <c r="A20" s="15" t="str">
        <f>IF(Listas!B6="","",Listas!B6)</f>
        <v>Dado de baja</v>
      </c>
      <c r="B20" s="15">
        <f>IF(A20="","",COUNTIF('Inventario General'!$Q$5:$Q$304,A20))</f>
        <v>0</v>
      </c>
      <c r="D20" s="15" t="str">
        <f>IF(Listas!A18="","",Listas!A18)</f>
        <v>UPS</v>
      </c>
      <c r="E20" s="15">
        <f>IF(D20="","",COUNTIF('Inventario General'!$B$5:$B$304,D20))</f>
        <v>0</v>
      </c>
      <c r="F20" s="16">
        <f>IF(D20="","",SUMIF('Inventario General'!$B$5:$B$304,D20,'Inventario General'!$N$5:$N$304))</f>
        <v>0</v>
      </c>
    </row>
    <row r="21" spans="1:6" x14ac:dyDescent="0.25">
      <c r="A21" s="15" t="str">
        <f>IF(Listas!B7="","",Listas!B7)</f>
        <v>Extraviado</v>
      </c>
      <c r="B21" s="15">
        <f>IF(A21="","",COUNTIF('Inventario General'!$Q$5:$Q$304,A21))</f>
        <v>0</v>
      </c>
      <c r="D21" s="15" t="str">
        <f>IF(Listas!A19="","",Listas!A19)</f>
        <v>Teléfono IP</v>
      </c>
      <c r="E21" s="15">
        <f>IF(D21="","",COUNTIF('Inventario General'!$B$5:$B$304,D21))</f>
        <v>0</v>
      </c>
      <c r="F21" s="16">
        <f>IF(D21="","",SUMIF('Inventario General'!$B$5:$B$304,D21,'Inventario General'!$N$5:$N$304))</f>
        <v>0</v>
      </c>
    </row>
    <row r="22" spans="1:6" x14ac:dyDescent="0.25">
      <c r="A22" s="15" t="str">
        <f>IF(Listas!B8="","",Listas!B8)</f>
        <v/>
      </c>
      <c r="B22" s="15" t="str">
        <f>IF(A22="","",COUNTIF('Inventario General'!$Q$5:$Q$304,A22))</f>
        <v/>
      </c>
      <c r="D22" s="15" t="str">
        <f>IF(Listas!A20="","",Listas!A20)</f>
        <v>Cámara / CCTV</v>
      </c>
      <c r="E22" s="15">
        <f>IF(D22="","",COUNTIF('Inventario General'!$B$5:$B$304,D22))</f>
        <v>0</v>
      </c>
      <c r="F22" s="16">
        <f>IF(D22="","",SUMIF('Inventario General'!$B$5:$B$304,D22,'Inventario General'!$N$5:$N$304))</f>
        <v>0</v>
      </c>
    </row>
    <row r="23" spans="1:6" x14ac:dyDescent="0.25">
      <c r="A23" s="15" t="str">
        <f>IF(Listas!B9="","",Listas!B9)</f>
        <v/>
      </c>
      <c r="B23" s="15" t="str">
        <f>IF(A23="","",COUNTIF('Inventario General'!$Q$5:$Q$304,A23))</f>
        <v/>
      </c>
      <c r="D23" s="15" t="str">
        <f>IF(Listas!A21="","",Listas!A21)</f>
        <v>Otro</v>
      </c>
      <c r="E23" s="15">
        <f>IF(D23="","",COUNTIF('Inventario General'!$B$5:$B$304,D23))</f>
        <v>0</v>
      </c>
      <c r="F23" s="16">
        <f>IF(D23="","",SUMIF('Inventario General'!$B$5:$B$304,D23,'Inventario General'!$N$5:$N$304))</f>
        <v>0</v>
      </c>
    </row>
    <row r="26" spans="1:6" x14ac:dyDescent="0.25">
      <c r="A26" s="12" t="s">
        <v>74</v>
      </c>
      <c r="B26" s="12" t="s">
        <v>62</v>
      </c>
      <c r="C26" s="12" t="s">
        <v>63</v>
      </c>
    </row>
    <row r="27" spans="1:6" x14ac:dyDescent="0.25">
      <c r="A27" s="15" t="str">
        <f>IF(Listas!D2="","",Listas!D2)</f>
        <v>Dirección General</v>
      </c>
      <c r="B27" s="15">
        <f>IF(A27="","",COUNTIF('Inventario General'!$G$5:$G$304,A27))</f>
        <v>0</v>
      </c>
      <c r="C27" s="16">
        <f>IF(A27="","",SUMIF('Inventario General'!$G$5:$G$304,A27,'Inventario General'!$N$5:$N$304))</f>
        <v>0</v>
      </c>
    </row>
    <row r="28" spans="1:6" x14ac:dyDescent="0.25">
      <c r="A28" s="15" t="str">
        <f>IF(Listas!D3="","",Listas!D3)</f>
        <v>Administración</v>
      </c>
      <c r="B28" s="15">
        <f>IF(A28="","",COUNTIF('Inventario General'!$G$5:$G$304,A28))</f>
        <v>2</v>
      </c>
      <c r="C28" s="16">
        <f>IF(A28="","",SUMIF('Inventario General'!$G$5:$G$304,A28,'Inventario General'!$N$5:$N$304))</f>
        <v>5700</v>
      </c>
    </row>
    <row r="29" spans="1:6" x14ac:dyDescent="0.25">
      <c r="A29" s="15" t="str">
        <f>IF(Listas!D4="","",Listas!D4)</f>
        <v>Contabilidad</v>
      </c>
      <c r="B29" s="15">
        <f>IF(A29="","",COUNTIF('Inventario General'!$G$5:$G$304,A29))</f>
        <v>0</v>
      </c>
      <c r="C29" s="16">
        <f>IF(A29="","",SUMIF('Inventario General'!$G$5:$G$304,A29,'Inventario General'!$N$5:$N$304))</f>
        <v>0</v>
      </c>
    </row>
    <row r="30" spans="1:6" x14ac:dyDescent="0.25">
      <c r="A30" s="15" t="str">
        <f>IF(Listas!D5="","",Listas!D5)</f>
        <v>Logística</v>
      </c>
      <c r="B30" s="15">
        <f>IF(A30="","",COUNTIF('Inventario General'!$G$5:$G$304,A30))</f>
        <v>0</v>
      </c>
      <c r="C30" s="16">
        <f>IF(A30="","",SUMIF('Inventario General'!$G$5:$G$304,A30,'Inventario General'!$N$5:$N$304))</f>
        <v>0</v>
      </c>
    </row>
    <row r="31" spans="1:6" x14ac:dyDescent="0.25">
      <c r="A31" s="15" t="str">
        <f>IF(Listas!D6="","",Listas!D6)</f>
        <v>Recursos Humanos</v>
      </c>
      <c r="B31" s="15">
        <f>IF(A31="","",COUNTIF('Inventario General'!$G$5:$G$304,A31))</f>
        <v>0</v>
      </c>
      <c r="C31" s="16">
        <f>IF(A31="","",SUMIF('Inventario General'!$G$5:$G$304,A31,'Inventario General'!$N$5:$N$304))</f>
        <v>0</v>
      </c>
    </row>
    <row r="32" spans="1:6" x14ac:dyDescent="0.25">
      <c r="A32" s="15" t="str">
        <f>IF(Listas!D7="","",Listas!D7)</f>
        <v>Tecnologías de la Información</v>
      </c>
      <c r="B32" s="15">
        <f>IF(A32="","",COUNTIF('Inventario General'!$G$5:$G$304,A32))</f>
        <v>2</v>
      </c>
      <c r="C32" s="16">
        <f>IF(A32="","",SUMIF('Inventario General'!$G$5:$G$304,A32,'Inventario General'!$N$5:$N$304))</f>
        <v>34700</v>
      </c>
    </row>
    <row r="33" spans="1:3" x14ac:dyDescent="0.25">
      <c r="A33" s="15" t="str">
        <f>IF(Listas!D8="","",Listas!D8)</f>
        <v>Legal</v>
      </c>
      <c r="B33" s="15">
        <f>IF(A33="","",COUNTIF('Inventario General'!$G$5:$G$304,A33))</f>
        <v>0</v>
      </c>
      <c r="C33" s="16">
        <f>IF(A33="","",SUMIF('Inventario General'!$G$5:$G$304,A33,'Inventario General'!$N$5:$N$304))</f>
        <v>0</v>
      </c>
    </row>
    <row r="34" spans="1:3" x14ac:dyDescent="0.25">
      <c r="A34" s="15" t="str">
        <f>IF(Listas!D9="","",Listas!D9)</f>
        <v>Almacén</v>
      </c>
      <c r="B34" s="15">
        <f>IF(A34="","",COUNTIF('Inventario General'!$G$5:$G$304,A34))</f>
        <v>0</v>
      </c>
      <c r="C34" s="16">
        <f>IF(A34="","",SUMIF('Inventario General'!$G$5:$G$304,A34,'Inventario General'!$N$5:$N$304))</f>
        <v>0</v>
      </c>
    </row>
    <row r="35" spans="1:3" x14ac:dyDescent="0.25">
      <c r="A35" s="15" t="str">
        <f>IF(Listas!D10="","",Listas!D10)</f>
        <v>Atención al usuario</v>
      </c>
      <c r="B35" s="15">
        <f>IF(A35="","",COUNTIF('Inventario General'!$G$5:$G$304,A35))</f>
        <v>0</v>
      </c>
      <c r="C35" s="16">
        <f>IF(A35="","",SUMIF('Inventario General'!$G$5:$G$304,A35,'Inventario General'!$N$5:$N$304))</f>
        <v>0</v>
      </c>
    </row>
    <row r="36" spans="1:3" x14ac:dyDescent="0.25">
      <c r="A36" s="15" t="str">
        <f>IF(Listas!D11="","",Listas!D11)</f>
        <v/>
      </c>
      <c r="B36" s="15" t="str">
        <f>IF(A36="","",COUNTIF('Inventario General'!$G$5:$G$304,A36))</f>
        <v/>
      </c>
      <c r="C36" s="16" t="str">
        <f>IF(A36="","",SUMIF('Inventario General'!$G$5:$G$304,A36,'Inventario General'!$N$5:$N$304))</f>
        <v/>
      </c>
    </row>
    <row r="37" spans="1:3" x14ac:dyDescent="0.25">
      <c r="A37" s="15" t="str">
        <f>IF(Listas!D12="","",Listas!D12)</f>
        <v/>
      </c>
      <c r="B37" s="15" t="str">
        <f>IF(A37="","",COUNTIF('Inventario General'!$G$5:$G$304,A37))</f>
        <v/>
      </c>
      <c r="C37" s="16" t="str">
        <f>IF(A37="","",SUMIF('Inventario General'!$G$5:$G$304,A37,'Inventario General'!$N$5:$N$304))</f>
        <v/>
      </c>
    </row>
    <row r="38" spans="1:3" x14ac:dyDescent="0.25">
      <c r="A38" s="15" t="str">
        <f>IF(Listas!D13="","",Listas!D13)</f>
        <v/>
      </c>
      <c r="B38" s="15" t="str">
        <f>IF(A38="","",COUNTIF('Inventario General'!$G$5:$G$304,A38))</f>
        <v/>
      </c>
      <c r="C38" s="16" t="str">
        <f>IF(A38="","",SUMIF('Inventario General'!$G$5:$G$304,A38,'Inventario General'!$N$5:$N$304))</f>
        <v/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X30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18" customWidth="1"/>
    <col min="2" max="2" width="20" customWidth="1"/>
    <col min="3" max="3" width="14" customWidth="1"/>
    <col min="4" max="4" width="22" customWidth="1"/>
    <col min="5" max="5" width="18" customWidth="1"/>
    <col min="6" max="6" width="34" customWidth="1"/>
    <col min="7" max="8" width="26" customWidth="1"/>
    <col min="9" max="9" width="24" customWidth="1"/>
    <col min="10" max="10" width="14" customWidth="1"/>
    <col min="11" max="11" width="26" customWidth="1"/>
    <col min="12" max="12" width="16" customWidth="1"/>
    <col min="13" max="13" width="20" customWidth="1"/>
    <col min="14" max="14" width="16" customWidth="1"/>
    <col min="15" max="15" width="10" customWidth="1"/>
    <col min="16" max="16" width="14" customWidth="1"/>
    <col min="17" max="17" width="15" customWidth="1"/>
    <col min="18" max="18" width="14" customWidth="1"/>
    <col min="19" max="20" width="11" customWidth="1"/>
    <col min="21" max="21" width="14" customWidth="1"/>
    <col min="22" max="22" width="12" customWidth="1"/>
    <col min="23" max="23" width="18" customWidth="1"/>
    <col min="24" max="24" width="34" customWidth="1"/>
  </cols>
  <sheetData>
    <row r="1" spans="1:24" ht="18" x14ac:dyDescent="0.25">
      <c r="A1" s="18" t="s">
        <v>75</v>
      </c>
    </row>
    <row r="2" spans="1:24" x14ac:dyDescent="0.25">
      <c r="A2" s="11" t="s">
        <v>76</v>
      </c>
    </row>
    <row r="4" spans="1:24" ht="48" customHeight="1" x14ac:dyDescent="0.25">
      <c r="A4" s="12" t="s">
        <v>77</v>
      </c>
      <c r="B4" s="12" t="s">
        <v>78</v>
      </c>
      <c r="C4" s="12" t="s">
        <v>79</v>
      </c>
      <c r="D4" s="12" t="s">
        <v>80</v>
      </c>
      <c r="E4" s="12" t="s">
        <v>81</v>
      </c>
      <c r="F4" s="12" t="s">
        <v>82</v>
      </c>
      <c r="G4" s="12" t="s">
        <v>83</v>
      </c>
      <c r="H4" s="12" t="s">
        <v>84</v>
      </c>
      <c r="I4" s="12" t="s">
        <v>85</v>
      </c>
      <c r="J4" s="12" t="s">
        <v>86</v>
      </c>
      <c r="K4" s="12" t="s">
        <v>87</v>
      </c>
      <c r="L4" s="12" t="s">
        <v>88</v>
      </c>
      <c r="M4" s="12" t="s">
        <v>89</v>
      </c>
      <c r="N4" s="12" t="s">
        <v>90</v>
      </c>
      <c r="O4" s="12" t="s">
        <v>91</v>
      </c>
      <c r="P4" s="12" t="s">
        <v>92</v>
      </c>
      <c r="Q4" s="12" t="s">
        <v>93</v>
      </c>
      <c r="R4" s="12" t="s">
        <v>94</v>
      </c>
      <c r="S4" s="12" t="s">
        <v>95</v>
      </c>
      <c r="T4" s="19" t="s">
        <v>96</v>
      </c>
      <c r="U4" s="19" t="s">
        <v>97</v>
      </c>
      <c r="V4" s="19" t="s">
        <v>98</v>
      </c>
      <c r="W4" s="19" t="s">
        <v>99</v>
      </c>
      <c r="X4" s="12" t="s">
        <v>100</v>
      </c>
    </row>
    <row r="5" spans="1:24" x14ac:dyDescent="0.25">
      <c r="A5" s="20" t="s">
        <v>101</v>
      </c>
      <c r="B5" s="20" t="s">
        <v>102</v>
      </c>
      <c r="C5" s="20" t="s">
        <v>103</v>
      </c>
      <c r="D5" s="20" t="s">
        <v>104</v>
      </c>
      <c r="E5" s="20" t="s">
        <v>105</v>
      </c>
      <c r="F5" s="20" t="s">
        <v>106</v>
      </c>
      <c r="G5" s="20" t="s">
        <v>107</v>
      </c>
      <c r="H5" s="20" t="s">
        <v>108</v>
      </c>
      <c r="I5" s="20" t="s">
        <v>109</v>
      </c>
      <c r="J5" s="21">
        <v>45000</v>
      </c>
      <c r="K5" s="20" t="s">
        <v>110</v>
      </c>
      <c r="L5" s="20" t="s">
        <v>111</v>
      </c>
      <c r="M5" s="20" t="s">
        <v>112</v>
      </c>
      <c r="N5" s="22">
        <v>3850</v>
      </c>
      <c r="O5" s="23">
        <v>4</v>
      </c>
      <c r="P5" s="21">
        <v>46095</v>
      </c>
      <c r="Q5" s="20" t="s">
        <v>113</v>
      </c>
      <c r="R5" s="20" t="s">
        <v>114</v>
      </c>
      <c r="S5" s="20" t="s">
        <v>115</v>
      </c>
      <c r="T5" s="24">
        <f t="shared" ref="T5:T68" ca="1" si="0">IF(J5="","",ROUND((TODAY()-J5)/365.25,1))</f>
        <v>3.6</v>
      </c>
      <c r="U5" s="25" t="str">
        <f t="shared" ref="U5:U68" ca="1" si="1">IF(P5="","",IF(P5&gt;=TODAY(),"Vigente","Vencida"))</f>
        <v>Vencida</v>
      </c>
      <c r="V5" s="24">
        <f t="shared" ref="V5:V68" ca="1" si="2">IF(OR(J5="",O5=""),"",ROUND(O5-T5,1))</f>
        <v>0.4</v>
      </c>
      <c r="W5" s="25" t="str">
        <f ca="1">IF(V5="","",IF(V5&lt;=0,"Renovar",IF(V5&lt;=Listas!$T$3,"Próximo a renovar","Vigente")))</f>
        <v>Próximo a renovar</v>
      </c>
      <c r="X5" s="20" t="s">
        <v>116</v>
      </c>
    </row>
    <row r="6" spans="1:24" x14ac:dyDescent="0.25">
      <c r="A6" s="20" t="s">
        <v>117</v>
      </c>
      <c r="B6" s="20" t="s">
        <v>118</v>
      </c>
      <c r="C6" s="20" t="s">
        <v>119</v>
      </c>
      <c r="D6" s="20" t="s">
        <v>120</v>
      </c>
      <c r="E6" s="20" t="s">
        <v>121</v>
      </c>
      <c r="F6" s="20" t="s">
        <v>122</v>
      </c>
      <c r="G6" s="20" t="s">
        <v>123</v>
      </c>
      <c r="H6" s="20" t="s">
        <v>124</v>
      </c>
      <c r="I6" s="20" t="s">
        <v>125</v>
      </c>
      <c r="J6" s="21">
        <v>45453</v>
      </c>
      <c r="K6" s="20" t="s">
        <v>110</v>
      </c>
      <c r="L6" s="20" t="s">
        <v>126</v>
      </c>
      <c r="M6" s="20" t="s">
        <v>112</v>
      </c>
      <c r="N6" s="22">
        <v>28500</v>
      </c>
      <c r="O6" s="23">
        <v>5</v>
      </c>
      <c r="P6" s="21">
        <v>47278</v>
      </c>
      <c r="Q6" s="20" t="s">
        <v>113</v>
      </c>
      <c r="R6" s="20" t="s">
        <v>127</v>
      </c>
      <c r="S6" s="20" t="s">
        <v>128</v>
      </c>
      <c r="T6" s="24">
        <f t="shared" ca="1" si="0"/>
        <v>2.4</v>
      </c>
      <c r="U6" s="25" t="str">
        <f t="shared" ca="1" si="1"/>
        <v>Vigente</v>
      </c>
      <c r="V6" s="24">
        <f t="shared" ca="1" si="2"/>
        <v>2.6</v>
      </c>
      <c r="W6" s="25" t="str">
        <f ca="1">IF(V6="","",IF(V6&lt;=0,"Renovar",IF(V6&lt;=Listas!$T$3,"Próximo a renovar","Vigente")))</f>
        <v>Vigente</v>
      </c>
      <c r="X6" s="20" t="s">
        <v>129</v>
      </c>
    </row>
    <row r="7" spans="1:24" x14ac:dyDescent="0.25">
      <c r="A7" s="20" t="s">
        <v>130</v>
      </c>
      <c r="B7" s="20" t="s">
        <v>131</v>
      </c>
      <c r="C7" s="20" t="s">
        <v>132</v>
      </c>
      <c r="D7" s="20" t="s">
        <v>133</v>
      </c>
      <c r="E7" s="20" t="s">
        <v>134</v>
      </c>
      <c r="F7" s="20" t="s">
        <v>135</v>
      </c>
      <c r="G7" s="20" t="s">
        <v>123</v>
      </c>
      <c r="H7" s="20" t="s">
        <v>124</v>
      </c>
      <c r="I7" s="20" t="s">
        <v>125</v>
      </c>
      <c r="J7" s="21">
        <v>44581</v>
      </c>
      <c r="K7" s="20" t="s">
        <v>110</v>
      </c>
      <c r="L7" s="20" t="s">
        <v>136</v>
      </c>
      <c r="M7" s="20" t="s">
        <v>112</v>
      </c>
      <c r="N7" s="22">
        <v>6200</v>
      </c>
      <c r="O7" s="23">
        <v>6</v>
      </c>
      <c r="P7" s="21">
        <v>45676</v>
      </c>
      <c r="Q7" s="20" t="s">
        <v>113</v>
      </c>
      <c r="R7" s="20" t="s">
        <v>114</v>
      </c>
      <c r="S7" s="20" t="s">
        <v>128</v>
      </c>
      <c r="T7" s="24">
        <f t="shared" ca="1" si="0"/>
        <v>4.8</v>
      </c>
      <c r="U7" s="25" t="str">
        <f t="shared" ca="1" si="1"/>
        <v>Vencida</v>
      </c>
      <c r="V7" s="24">
        <f t="shared" ca="1" si="2"/>
        <v>1.2</v>
      </c>
      <c r="W7" s="25" t="str">
        <f ca="1">IF(V7="","",IF(V7&lt;=0,"Renovar",IF(V7&lt;=Listas!$T$3,"Próximo a renovar","Vigente")))</f>
        <v>Vigente</v>
      </c>
      <c r="X7" s="20" t="s">
        <v>129</v>
      </c>
    </row>
    <row r="8" spans="1:24" x14ac:dyDescent="0.25">
      <c r="A8" s="20" t="s">
        <v>137</v>
      </c>
      <c r="B8" s="20" t="s">
        <v>138</v>
      </c>
      <c r="C8" s="20" t="s">
        <v>139</v>
      </c>
      <c r="D8" s="20" t="s">
        <v>140</v>
      </c>
      <c r="E8" s="20" t="s">
        <v>141</v>
      </c>
      <c r="F8" s="20" t="s">
        <v>142</v>
      </c>
      <c r="G8" s="20" t="s">
        <v>107</v>
      </c>
      <c r="H8" s="20" t="s">
        <v>143</v>
      </c>
      <c r="I8" s="20" t="s">
        <v>144</v>
      </c>
      <c r="J8" s="21">
        <v>45689</v>
      </c>
      <c r="K8" s="20" t="s">
        <v>110</v>
      </c>
      <c r="L8" s="20" t="s">
        <v>145</v>
      </c>
      <c r="M8" s="20" t="s">
        <v>112</v>
      </c>
      <c r="N8" s="22">
        <v>1850</v>
      </c>
      <c r="O8" s="23">
        <v>5</v>
      </c>
      <c r="P8" s="21">
        <v>46418</v>
      </c>
      <c r="Q8" s="20" t="s">
        <v>113</v>
      </c>
      <c r="R8" s="20" t="s">
        <v>114</v>
      </c>
      <c r="S8" s="20" t="s">
        <v>146</v>
      </c>
      <c r="T8" s="24">
        <f t="shared" ca="1" si="0"/>
        <v>1.7</v>
      </c>
      <c r="U8" s="25" t="str">
        <f t="shared" ca="1" si="1"/>
        <v>Vigente</v>
      </c>
      <c r="V8" s="24">
        <f t="shared" ca="1" si="2"/>
        <v>3.3</v>
      </c>
      <c r="W8" s="25" t="str">
        <f ca="1">IF(V8="","",IF(V8&lt;=0,"Renovar",IF(V8&lt;=Listas!$T$3,"Próximo a renovar","Vigente")))</f>
        <v>Vigente</v>
      </c>
      <c r="X8" s="20" t="s">
        <v>129</v>
      </c>
    </row>
    <row r="9" spans="1:24" x14ac:dyDescent="0.25">
      <c r="A9" s="26"/>
      <c r="B9" s="26"/>
      <c r="C9" s="26"/>
      <c r="D9" s="26"/>
      <c r="E9" s="26"/>
      <c r="F9" s="26"/>
      <c r="G9" s="26"/>
      <c r="H9" s="26"/>
      <c r="I9" s="26"/>
      <c r="J9" s="27"/>
      <c r="K9" s="26"/>
      <c r="L9" s="26"/>
      <c r="M9" s="26"/>
      <c r="N9" s="28"/>
      <c r="O9" s="29"/>
      <c r="P9" s="27"/>
      <c r="Q9" s="26"/>
      <c r="R9" s="26"/>
      <c r="S9" s="26"/>
      <c r="T9" s="24" t="str">
        <f t="shared" ca="1" si="0"/>
        <v/>
      </c>
      <c r="U9" s="25" t="str">
        <f t="shared" ca="1" si="1"/>
        <v/>
      </c>
      <c r="V9" s="24" t="str">
        <f t="shared" si="2"/>
        <v/>
      </c>
      <c r="W9" s="25" t="str">
        <f>IF(V9="","",IF(V9&lt;=0,"Renovar",IF(V9&lt;=Listas!$T$3,"Próximo a renovar","Vigente")))</f>
        <v/>
      </c>
      <c r="X9" s="26"/>
    </row>
    <row r="10" spans="1:24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7"/>
      <c r="K10" s="26"/>
      <c r="L10" s="26"/>
      <c r="M10" s="26"/>
      <c r="N10" s="28"/>
      <c r="O10" s="29"/>
      <c r="P10" s="27"/>
      <c r="Q10" s="26"/>
      <c r="R10" s="26"/>
      <c r="S10" s="26"/>
      <c r="T10" s="24" t="str">
        <f t="shared" ca="1" si="0"/>
        <v/>
      </c>
      <c r="U10" s="25" t="str">
        <f t="shared" ca="1" si="1"/>
        <v/>
      </c>
      <c r="V10" s="24" t="str">
        <f t="shared" si="2"/>
        <v/>
      </c>
      <c r="W10" s="25" t="str">
        <f>IF(V10="","",IF(V10&lt;=0,"Renovar",IF(V10&lt;=Listas!$T$3,"Próximo a renovar","Vigente")))</f>
        <v/>
      </c>
      <c r="X10" s="26"/>
    </row>
    <row r="11" spans="1:24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7"/>
      <c r="K11" s="26"/>
      <c r="L11" s="26"/>
      <c r="M11" s="26"/>
      <c r="N11" s="28"/>
      <c r="O11" s="29"/>
      <c r="P11" s="27"/>
      <c r="Q11" s="26"/>
      <c r="R11" s="26"/>
      <c r="S11" s="26"/>
      <c r="T11" s="24" t="str">
        <f t="shared" ca="1" si="0"/>
        <v/>
      </c>
      <c r="U11" s="25" t="str">
        <f t="shared" ca="1" si="1"/>
        <v/>
      </c>
      <c r="V11" s="24" t="str">
        <f t="shared" si="2"/>
        <v/>
      </c>
      <c r="W11" s="25" t="str">
        <f>IF(V11="","",IF(V11&lt;=0,"Renovar",IF(V11&lt;=Listas!$T$3,"Próximo a renovar","Vigente")))</f>
        <v/>
      </c>
      <c r="X11" s="26"/>
    </row>
    <row r="12" spans="1:24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7"/>
      <c r="K12" s="26"/>
      <c r="L12" s="26"/>
      <c r="M12" s="26"/>
      <c r="N12" s="28"/>
      <c r="O12" s="29"/>
      <c r="P12" s="27"/>
      <c r="Q12" s="26"/>
      <c r="R12" s="26"/>
      <c r="S12" s="26"/>
      <c r="T12" s="24" t="str">
        <f t="shared" ca="1" si="0"/>
        <v/>
      </c>
      <c r="U12" s="25" t="str">
        <f t="shared" ca="1" si="1"/>
        <v/>
      </c>
      <c r="V12" s="24" t="str">
        <f t="shared" si="2"/>
        <v/>
      </c>
      <c r="W12" s="25" t="str">
        <f>IF(V12="","",IF(V12&lt;=0,"Renovar",IF(V12&lt;=Listas!$T$3,"Próximo a renovar","Vigente")))</f>
        <v/>
      </c>
      <c r="X12" s="26"/>
    </row>
    <row r="13" spans="1:24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7"/>
      <c r="K13" s="26"/>
      <c r="L13" s="26"/>
      <c r="M13" s="26"/>
      <c r="N13" s="28"/>
      <c r="O13" s="29"/>
      <c r="P13" s="27"/>
      <c r="Q13" s="26"/>
      <c r="R13" s="26"/>
      <c r="S13" s="26"/>
      <c r="T13" s="24" t="str">
        <f t="shared" ca="1" si="0"/>
        <v/>
      </c>
      <c r="U13" s="25" t="str">
        <f t="shared" ca="1" si="1"/>
        <v/>
      </c>
      <c r="V13" s="24" t="str">
        <f t="shared" si="2"/>
        <v/>
      </c>
      <c r="W13" s="25" t="str">
        <f>IF(V13="","",IF(V13&lt;=0,"Renovar",IF(V13&lt;=Listas!$T$3,"Próximo a renovar","Vigente")))</f>
        <v/>
      </c>
      <c r="X13" s="26"/>
    </row>
    <row r="14" spans="1:24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7"/>
      <c r="K14" s="26"/>
      <c r="L14" s="26"/>
      <c r="M14" s="26"/>
      <c r="N14" s="28"/>
      <c r="O14" s="29"/>
      <c r="P14" s="27"/>
      <c r="Q14" s="26"/>
      <c r="R14" s="26"/>
      <c r="S14" s="26"/>
      <c r="T14" s="24" t="str">
        <f t="shared" ca="1" si="0"/>
        <v/>
      </c>
      <c r="U14" s="25" t="str">
        <f t="shared" ca="1" si="1"/>
        <v/>
      </c>
      <c r="V14" s="24" t="str">
        <f t="shared" si="2"/>
        <v/>
      </c>
      <c r="W14" s="25" t="str">
        <f>IF(V14="","",IF(V14&lt;=0,"Renovar",IF(V14&lt;=Listas!$T$3,"Próximo a renovar","Vigente")))</f>
        <v/>
      </c>
      <c r="X14" s="26"/>
    </row>
    <row r="15" spans="1:24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7"/>
      <c r="K15" s="26"/>
      <c r="L15" s="26"/>
      <c r="M15" s="26"/>
      <c r="N15" s="28"/>
      <c r="O15" s="29"/>
      <c r="P15" s="27"/>
      <c r="Q15" s="26"/>
      <c r="R15" s="26"/>
      <c r="S15" s="26"/>
      <c r="T15" s="24" t="str">
        <f t="shared" ca="1" si="0"/>
        <v/>
      </c>
      <c r="U15" s="25" t="str">
        <f t="shared" ca="1" si="1"/>
        <v/>
      </c>
      <c r="V15" s="24" t="str">
        <f t="shared" si="2"/>
        <v/>
      </c>
      <c r="W15" s="25" t="str">
        <f>IF(V15="","",IF(V15&lt;=0,"Renovar",IF(V15&lt;=Listas!$T$3,"Próximo a renovar","Vigente")))</f>
        <v/>
      </c>
      <c r="X15" s="26"/>
    </row>
    <row r="16" spans="1:24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7"/>
      <c r="K16" s="26"/>
      <c r="L16" s="26"/>
      <c r="M16" s="26"/>
      <c r="N16" s="28"/>
      <c r="O16" s="29"/>
      <c r="P16" s="27"/>
      <c r="Q16" s="26"/>
      <c r="R16" s="26"/>
      <c r="S16" s="26"/>
      <c r="T16" s="24" t="str">
        <f t="shared" ca="1" si="0"/>
        <v/>
      </c>
      <c r="U16" s="25" t="str">
        <f t="shared" ca="1" si="1"/>
        <v/>
      </c>
      <c r="V16" s="24" t="str">
        <f t="shared" si="2"/>
        <v/>
      </c>
      <c r="W16" s="25" t="str">
        <f>IF(V16="","",IF(V16&lt;=0,"Renovar",IF(V16&lt;=Listas!$T$3,"Próximo a renovar","Vigente")))</f>
        <v/>
      </c>
      <c r="X16" s="26"/>
    </row>
    <row r="17" spans="1:24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7"/>
      <c r="K17" s="26"/>
      <c r="L17" s="26"/>
      <c r="M17" s="26"/>
      <c r="N17" s="28"/>
      <c r="O17" s="29"/>
      <c r="P17" s="27"/>
      <c r="Q17" s="26"/>
      <c r="R17" s="26"/>
      <c r="S17" s="26"/>
      <c r="T17" s="24" t="str">
        <f t="shared" ca="1" si="0"/>
        <v/>
      </c>
      <c r="U17" s="25" t="str">
        <f t="shared" ca="1" si="1"/>
        <v/>
      </c>
      <c r="V17" s="24" t="str">
        <f t="shared" si="2"/>
        <v/>
      </c>
      <c r="W17" s="25" t="str">
        <f>IF(V17="","",IF(V17&lt;=0,"Renovar",IF(V17&lt;=Listas!$T$3,"Próximo a renovar","Vigente")))</f>
        <v/>
      </c>
      <c r="X17" s="26"/>
    </row>
    <row r="18" spans="1:24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7"/>
      <c r="K18" s="26"/>
      <c r="L18" s="26"/>
      <c r="M18" s="26"/>
      <c r="N18" s="28"/>
      <c r="O18" s="29"/>
      <c r="P18" s="27"/>
      <c r="Q18" s="26"/>
      <c r="R18" s="26"/>
      <c r="S18" s="26"/>
      <c r="T18" s="24" t="str">
        <f t="shared" ca="1" si="0"/>
        <v/>
      </c>
      <c r="U18" s="25" t="str">
        <f t="shared" ca="1" si="1"/>
        <v/>
      </c>
      <c r="V18" s="24" t="str">
        <f t="shared" si="2"/>
        <v/>
      </c>
      <c r="W18" s="25" t="str">
        <f>IF(V18="","",IF(V18&lt;=0,"Renovar",IF(V18&lt;=Listas!$T$3,"Próximo a renovar","Vigente")))</f>
        <v/>
      </c>
      <c r="X18" s="26"/>
    </row>
    <row r="19" spans="1:24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7"/>
      <c r="K19" s="26"/>
      <c r="L19" s="26"/>
      <c r="M19" s="26"/>
      <c r="N19" s="28"/>
      <c r="O19" s="29"/>
      <c r="P19" s="27"/>
      <c r="Q19" s="26"/>
      <c r="R19" s="26"/>
      <c r="S19" s="26"/>
      <c r="T19" s="24" t="str">
        <f t="shared" ca="1" si="0"/>
        <v/>
      </c>
      <c r="U19" s="25" t="str">
        <f t="shared" ca="1" si="1"/>
        <v/>
      </c>
      <c r="V19" s="24" t="str">
        <f t="shared" si="2"/>
        <v/>
      </c>
      <c r="W19" s="25" t="str">
        <f>IF(V19="","",IF(V19&lt;=0,"Renovar",IF(V19&lt;=Listas!$T$3,"Próximo a renovar","Vigente")))</f>
        <v/>
      </c>
      <c r="X19" s="26"/>
    </row>
    <row r="20" spans="1:24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7"/>
      <c r="K20" s="26"/>
      <c r="L20" s="26"/>
      <c r="M20" s="26"/>
      <c r="N20" s="28"/>
      <c r="O20" s="29"/>
      <c r="P20" s="27"/>
      <c r="Q20" s="26"/>
      <c r="R20" s="26"/>
      <c r="S20" s="26"/>
      <c r="T20" s="24" t="str">
        <f t="shared" ca="1" si="0"/>
        <v/>
      </c>
      <c r="U20" s="25" t="str">
        <f t="shared" ca="1" si="1"/>
        <v/>
      </c>
      <c r="V20" s="24" t="str">
        <f t="shared" si="2"/>
        <v/>
      </c>
      <c r="W20" s="25" t="str">
        <f>IF(V20="","",IF(V20&lt;=0,"Renovar",IF(V20&lt;=Listas!$T$3,"Próximo a renovar","Vigente")))</f>
        <v/>
      </c>
      <c r="X20" s="26"/>
    </row>
    <row r="21" spans="1:24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7"/>
      <c r="K21" s="26"/>
      <c r="L21" s="26"/>
      <c r="M21" s="26"/>
      <c r="N21" s="28"/>
      <c r="O21" s="29"/>
      <c r="P21" s="27"/>
      <c r="Q21" s="26"/>
      <c r="R21" s="26"/>
      <c r="S21" s="26"/>
      <c r="T21" s="24" t="str">
        <f t="shared" ca="1" si="0"/>
        <v/>
      </c>
      <c r="U21" s="25" t="str">
        <f t="shared" ca="1" si="1"/>
        <v/>
      </c>
      <c r="V21" s="24" t="str">
        <f t="shared" si="2"/>
        <v/>
      </c>
      <c r="W21" s="25" t="str">
        <f>IF(V21="","",IF(V21&lt;=0,"Renovar",IF(V21&lt;=Listas!$T$3,"Próximo a renovar","Vigente")))</f>
        <v/>
      </c>
      <c r="X21" s="26"/>
    </row>
    <row r="22" spans="1:24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7"/>
      <c r="K22" s="26"/>
      <c r="L22" s="26"/>
      <c r="M22" s="26"/>
      <c r="N22" s="28"/>
      <c r="O22" s="29"/>
      <c r="P22" s="27"/>
      <c r="Q22" s="26"/>
      <c r="R22" s="26"/>
      <c r="S22" s="26"/>
      <c r="T22" s="24" t="str">
        <f t="shared" ca="1" si="0"/>
        <v/>
      </c>
      <c r="U22" s="25" t="str">
        <f t="shared" ca="1" si="1"/>
        <v/>
      </c>
      <c r="V22" s="24" t="str">
        <f t="shared" si="2"/>
        <v/>
      </c>
      <c r="W22" s="25" t="str">
        <f>IF(V22="","",IF(V22&lt;=0,"Renovar",IF(V22&lt;=Listas!$T$3,"Próximo a renovar","Vigente")))</f>
        <v/>
      </c>
      <c r="X22" s="26"/>
    </row>
    <row r="23" spans="1:24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7"/>
      <c r="K23" s="26"/>
      <c r="L23" s="26"/>
      <c r="M23" s="26"/>
      <c r="N23" s="28"/>
      <c r="O23" s="29"/>
      <c r="P23" s="27"/>
      <c r="Q23" s="26"/>
      <c r="R23" s="26"/>
      <c r="S23" s="26"/>
      <c r="T23" s="24" t="str">
        <f t="shared" ca="1" si="0"/>
        <v/>
      </c>
      <c r="U23" s="25" t="str">
        <f t="shared" ca="1" si="1"/>
        <v/>
      </c>
      <c r="V23" s="24" t="str">
        <f t="shared" si="2"/>
        <v/>
      </c>
      <c r="W23" s="25" t="str">
        <f>IF(V23="","",IF(V23&lt;=0,"Renovar",IF(V23&lt;=Listas!$T$3,"Próximo a renovar","Vigente")))</f>
        <v/>
      </c>
      <c r="X23" s="26"/>
    </row>
    <row r="24" spans="1:24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7"/>
      <c r="K24" s="26"/>
      <c r="L24" s="26"/>
      <c r="M24" s="26"/>
      <c r="N24" s="28"/>
      <c r="O24" s="29"/>
      <c r="P24" s="27"/>
      <c r="Q24" s="26"/>
      <c r="R24" s="26"/>
      <c r="S24" s="26"/>
      <c r="T24" s="24" t="str">
        <f t="shared" ca="1" si="0"/>
        <v/>
      </c>
      <c r="U24" s="25" t="str">
        <f t="shared" ca="1" si="1"/>
        <v/>
      </c>
      <c r="V24" s="24" t="str">
        <f t="shared" si="2"/>
        <v/>
      </c>
      <c r="W24" s="25" t="str">
        <f>IF(V24="","",IF(V24&lt;=0,"Renovar",IF(V24&lt;=Listas!$T$3,"Próximo a renovar","Vigente")))</f>
        <v/>
      </c>
      <c r="X24" s="26"/>
    </row>
    <row r="25" spans="1:24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7"/>
      <c r="K25" s="26"/>
      <c r="L25" s="26"/>
      <c r="M25" s="26"/>
      <c r="N25" s="28"/>
      <c r="O25" s="29"/>
      <c r="P25" s="27"/>
      <c r="Q25" s="26"/>
      <c r="R25" s="26"/>
      <c r="S25" s="26"/>
      <c r="T25" s="24" t="str">
        <f t="shared" ca="1" si="0"/>
        <v/>
      </c>
      <c r="U25" s="25" t="str">
        <f t="shared" ca="1" si="1"/>
        <v/>
      </c>
      <c r="V25" s="24" t="str">
        <f t="shared" si="2"/>
        <v/>
      </c>
      <c r="W25" s="25" t="str">
        <f>IF(V25="","",IF(V25&lt;=0,"Renovar",IF(V25&lt;=Listas!$T$3,"Próximo a renovar","Vigente")))</f>
        <v/>
      </c>
      <c r="X25" s="26"/>
    </row>
    <row r="26" spans="1:24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7"/>
      <c r="K26" s="26"/>
      <c r="L26" s="26"/>
      <c r="M26" s="26"/>
      <c r="N26" s="28"/>
      <c r="O26" s="29"/>
      <c r="P26" s="27"/>
      <c r="Q26" s="26"/>
      <c r="R26" s="26"/>
      <c r="S26" s="26"/>
      <c r="T26" s="24" t="str">
        <f t="shared" ca="1" si="0"/>
        <v/>
      </c>
      <c r="U26" s="25" t="str">
        <f t="shared" ca="1" si="1"/>
        <v/>
      </c>
      <c r="V26" s="24" t="str">
        <f t="shared" si="2"/>
        <v/>
      </c>
      <c r="W26" s="25" t="str">
        <f>IF(V26="","",IF(V26&lt;=0,"Renovar",IF(V26&lt;=Listas!$T$3,"Próximo a renovar","Vigente")))</f>
        <v/>
      </c>
      <c r="X26" s="26"/>
    </row>
    <row r="27" spans="1:24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7"/>
      <c r="K27" s="26"/>
      <c r="L27" s="26"/>
      <c r="M27" s="26"/>
      <c r="N27" s="28"/>
      <c r="O27" s="29"/>
      <c r="P27" s="27"/>
      <c r="Q27" s="26"/>
      <c r="R27" s="26"/>
      <c r="S27" s="26"/>
      <c r="T27" s="24" t="str">
        <f t="shared" ca="1" si="0"/>
        <v/>
      </c>
      <c r="U27" s="25" t="str">
        <f t="shared" ca="1" si="1"/>
        <v/>
      </c>
      <c r="V27" s="24" t="str">
        <f t="shared" si="2"/>
        <v/>
      </c>
      <c r="W27" s="25" t="str">
        <f>IF(V27="","",IF(V27&lt;=0,"Renovar",IF(V27&lt;=Listas!$T$3,"Próximo a renovar","Vigente")))</f>
        <v/>
      </c>
      <c r="X27" s="26"/>
    </row>
    <row r="28" spans="1:24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7"/>
      <c r="K28" s="26"/>
      <c r="L28" s="26"/>
      <c r="M28" s="26"/>
      <c r="N28" s="28"/>
      <c r="O28" s="29"/>
      <c r="P28" s="27"/>
      <c r="Q28" s="26"/>
      <c r="R28" s="26"/>
      <c r="S28" s="26"/>
      <c r="T28" s="24" t="str">
        <f t="shared" ca="1" si="0"/>
        <v/>
      </c>
      <c r="U28" s="25" t="str">
        <f t="shared" ca="1" si="1"/>
        <v/>
      </c>
      <c r="V28" s="24" t="str">
        <f t="shared" si="2"/>
        <v/>
      </c>
      <c r="W28" s="25" t="str">
        <f>IF(V28="","",IF(V28&lt;=0,"Renovar",IF(V28&lt;=Listas!$T$3,"Próximo a renovar","Vigente")))</f>
        <v/>
      </c>
      <c r="X28" s="26"/>
    </row>
    <row r="29" spans="1:24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7"/>
      <c r="K29" s="26"/>
      <c r="L29" s="26"/>
      <c r="M29" s="26"/>
      <c r="N29" s="28"/>
      <c r="O29" s="29"/>
      <c r="P29" s="27"/>
      <c r="Q29" s="26"/>
      <c r="R29" s="26"/>
      <c r="S29" s="26"/>
      <c r="T29" s="24" t="str">
        <f t="shared" ca="1" si="0"/>
        <v/>
      </c>
      <c r="U29" s="25" t="str">
        <f t="shared" ca="1" si="1"/>
        <v/>
      </c>
      <c r="V29" s="24" t="str">
        <f t="shared" si="2"/>
        <v/>
      </c>
      <c r="W29" s="25" t="str">
        <f>IF(V29="","",IF(V29&lt;=0,"Renovar",IF(V29&lt;=Listas!$T$3,"Próximo a renovar","Vigente")))</f>
        <v/>
      </c>
      <c r="X29" s="26"/>
    </row>
    <row r="30" spans="1:24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7"/>
      <c r="K30" s="26"/>
      <c r="L30" s="26"/>
      <c r="M30" s="26"/>
      <c r="N30" s="28"/>
      <c r="O30" s="29"/>
      <c r="P30" s="27"/>
      <c r="Q30" s="26"/>
      <c r="R30" s="26"/>
      <c r="S30" s="26"/>
      <c r="T30" s="24" t="str">
        <f t="shared" ca="1" si="0"/>
        <v/>
      </c>
      <c r="U30" s="25" t="str">
        <f t="shared" ca="1" si="1"/>
        <v/>
      </c>
      <c r="V30" s="24" t="str">
        <f t="shared" si="2"/>
        <v/>
      </c>
      <c r="W30" s="25" t="str">
        <f>IF(V30="","",IF(V30&lt;=0,"Renovar",IF(V30&lt;=Listas!$T$3,"Próximo a renovar","Vigente")))</f>
        <v/>
      </c>
      <c r="X30" s="26"/>
    </row>
    <row r="31" spans="1:24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7"/>
      <c r="K31" s="26"/>
      <c r="L31" s="26"/>
      <c r="M31" s="26"/>
      <c r="N31" s="28"/>
      <c r="O31" s="29"/>
      <c r="P31" s="27"/>
      <c r="Q31" s="26"/>
      <c r="R31" s="26"/>
      <c r="S31" s="26"/>
      <c r="T31" s="24" t="str">
        <f t="shared" ca="1" si="0"/>
        <v/>
      </c>
      <c r="U31" s="25" t="str">
        <f t="shared" ca="1" si="1"/>
        <v/>
      </c>
      <c r="V31" s="24" t="str">
        <f t="shared" si="2"/>
        <v/>
      </c>
      <c r="W31" s="25" t="str">
        <f>IF(V31="","",IF(V31&lt;=0,"Renovar",IF(V31&lt;=Listas!$T$3,"Próximo a renovar","Vigente")))</f>
        <v/>
      </c>
      <c r="X31" s="26"/>
    </row>
    <row r="32" spans="1:24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7"/>
      <c r="K32" s="26"/>
      <c r="L32" s="26"/>
      <c r="M32" s="26"/>
      <c r="N32" s="28"/>
      <c r="O32" s="29"/>
      <c r="P32" s="27"/>
      <c r="Q32" s="26"/>
      <c r="R32" s="26"/>
      <c r="S32" s="26"/>
      <c r="T32" s="24" t="str">
        <f t="shared" ca="1" si="0"/>
        <v/>
      </c>
      <c r="U32" s="25" t="str">
        <f t="shared" ca="1" si="1"/>
        <v/>
      </c>
      <c r="V32" s="24" t="str">
        <f t="shared" si="2"/>
        <v/>
      </c>
      <c r="W32" s="25" t="str">
        <f>IF(V32="","",IF(V32&lt;=0,"Renovar",IF(V32&lt;=Listas!$T$3,"Próximo a renovar","Vigente")))</f>
        <v/>
      </c>
      <c r="X32" s="26"/>
    </row>
    <row r="33" spans="1:24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7"/>
      <c r="K33" s="26"/>
      <c r="L33" s="26"/>
      <c r="M33" s="26"/>
      <c r="N33" s="28"/>
      <c r="O33" s="29"/>
      <c r="P33" s="27"/>
      <c r="Q33" s="26"/>
      <c r="R33" s="26"/>
      <c r="S33" s="26"/>
      <c r="T33" s="24" t="str">
        <f t="shared" ca="1" si="0"/>
        <v/>
      </c>
      <c r="U33" s="25" t="str">
        <f t="shared" ca="1" si="1"/>
        <v/>
      </c>
      <c r="V33" s="24" t="str">
        <f t="shared" si="2"/>
        <v/>
      </c>
      <c r="W33" s="25" t="str">
        <f>IF(V33="","",IF(V33&lt;=0,"Renovar",IF(V33&lt;=Listas!$T$3,"Próximo a renovar","Vigente")))</f>
        <v/>
      </c>
      <c r="X33" s="26"/>
    </row>
    <row r="34" spans="1:24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7"/>
      <c r="K34" s="26"/>
      <c r="L34" s="26"/>
      <c r="M34" s="26"/>
      <c r="N34" s="28"/>
      <c r="O34" s="29"/>
      <c r="P34" s="27"/>
      <c r="Q34" s="26"/>
      <c r="R34" s="26"/>
      <c r="S34" s="26"/>
      <c r="T34" s="24" t="str">
        <f t="shared" ca="1" si="0"/>
        <v/>
      </c>
      <c r="U34" s="25" t="str">
        <f t="shared" ca="1" si="1"/>
        <v/>
      </c>
      <c r="V34" s="24" t="str">
        <f t="shared" si="2"/>
        <v/>
      </c>
      <c r="W34" s="25" t="str">
        <f>IF(V34="","",IF(V34&lt;=0,"Renovar",IF(V34&lt;=Listas!$T$3,"Próximo a renovar","Vigente")))</f>
        <v/>
      </c>
      <c r="X34" s="26"/>
    </row>
    <row r="35" spans="1:24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7"/>
      <c r="K35" s="26"/>
      <c r="L35" s="26"/>
      <c r="M35" s="26"/>
      <c r="N35" s="28"/>
      <c r="O35" s="29"/>
      <c r="P35" s="27"/>
      <c r="Q35" s="26"/>
      <c r="R35" s="26"/>
      <c r="S35" s="26"/>
      <c r="T35" s="24" t="str">
        <f t="shared" ca="1" si="0"/>
        <v/>
      </c>
      <c r="U35" s="25" t="str">
        <f t="shared" ca="1" si="1"/>
        <v/>
      </c>
      <c r="V35" s="24" t="str">
        <f t="shared" si="2"/>
        <v/>
      </c>
      <c r="W35" s="25" t="str">
        <f>IF(V35="","",IF(V35&lt;=0,"Renovar",IF(V35&lt;=Listas!$T$3,"Próximo a renovar","Vigente")))</f>
        <v/>
      </c>
      <c r="X35" s="26"/>
    </row>
    <row r="36" spans="1:24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7"/>
      <c r="K36" s="26"/>
      <c r="L36" s="26"/>
      <c r="M36" s="26"/>
      <c r="N36" s="28"/>
      <c r="O36" s="29"/>
      <c r="P36" s="27"/>
      <c r="Q36" s="26"/>
      <c r="R36" s="26"/>
      <c r="S36" s="26"/>
      <c r="T36" s="24" t="str">
        <f t="shared" ca="1" si="0"/>
        <v/>
      </c>
      <c r="U36" s="25" t="str">
        <f t="shared" ca="1" si="1"/>
        <v/>
      </c>
      <c r="V36" s="24" t="str">
        <f t="shared" si="2"/>
        <v/>
      </c>
      <c r="W36" s="25" t="str">
        <f>IF(V36="","",IF(V36&lt;=0,"Renovar",IF(V36&lt;=Listas!$T$3,"Próximo a renovar","Vigente")))</f>
        <v/>
      </c>
      <c r="X36" s="26"/>
    </row>
    <row r="37" spans="1:24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7"/>
      <c r="K37" s="26"/>
      <c r="L37" s="26"/>
      <c r="M37" s="26"/>
      <c r="N37" s="28"/>
      <c r="O37" s="29"/>
      <c r="P37" s="27"/>
      <c r="Q37" s="26"/>
      <c r="R37" s="26"/>
      <c r="S37" s="26"/>
      <c r="T37" s="24" t="str">
        <f t="shared" ca="1" si="0"/>
        <v/>
      </c>
      <c r="U37" s="25" t="str">
        <f t="shared" ca="1" si="1"/>
        <v/>
      </c>
      <c r="V37" s="24" t="str">
        <f t="shared" si="2"/>
        <v/>
      </c>
      <c r="W37" s="25" t="str">
        <f>IF(V37="","",IF(V37&lt;=0,"Renovar",IF(V37&lt;=Listas!$T$3,"Próximo a renovar","Vigente")))</f>
        <v/>
      </c>
      <c r="X37" s="26"/>
    </row>
    <row r="38" spans="1:24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7"/>
      <c r="K38" s="26"/>
      <c r="L38" s="26"/>
      <c r="M38" s="26"/>
      <c r="N38" s="28"/>
      <c r="O38" s="29"/>
      <c r="P38" s="27"/>
      <c r="Q38" s="26"/>
      <c r="R38" s="26"/>
      <c r="S38" s="26"/>
      <c r="T38" s="24" t="str">
        <f t="shared" ca="1" si="0"/>
        <v/>
      </c>
      <c r="U38" s="25" t="str">
        <f t="shared" ca="1" si="1"/>
        <v/>
      </c>
      <c r="V38" s="24" t="str">
        <f t="shared" si="2"/>
        <v/>
      </c>
      <c r="W38" s="25" t="str">
        <f>IF(V38="","",IF(V38&lt;=0,"Renovar",IF(V38&lt;=Listas!$T$3,"Próximo a renovar","Vigente")))</f>
        <v/>
      </c>
      <c r="X38" s="26"/>
    </row>
    <row r="39" spans="1:24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7"/>
      <c r="K39" s="26"/>
      <c r="L39" s="26"/>
      <c r="M39" s="26"/>
      <c r="N39" s="28"/>
      <c r="O39" s="29"/>
      <c r="P39" s="27"/>
      <c r="Q39" s="26"/>
      <c r="R39" s="26"/>
      <c r="S39" s="26"/>
      <c r="T39" s="24" t="str">
        <f t="shared" ca="1" si="0"/>
        <v/>
      </c>
      <c r="U39" s="25" t="str">
        <f t="shared" ca="1" si="1"/>
        <v/>
      </c>
      <c r="V39" s="24" t="str">
        <f t="shared" si="2"/>
        <v/>
      </c>
      <c r="W39" s="25" t="str">
        <f>IF(V39="","",IF(V39&lt;=0,"Renovar",IF(V39&lt;=Listas!$T$3,"Próximo a renovar","Vigente")))</f>
        <v/>
      </c>
      <c r="X39" s="26"/>
    </row>
    <row r="40" spans="1:24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7"/>
      <c r="K40" s="26"/>
      <c r="L40" s="26"/>
      <c r="M40" s="26"/>
      <c r="N40" s="28"/>
      <c r="O40" s="29"/>
      <c r="P40" s="27"/>
      <c r="Q40" s="26"/>
      <c r="R40" s="26"/>
      <c r="S40" s="26"/>
      <c r="T40" s="24" t="str">
        <f t="shared" ca="1" si="0"/>
        <v/>
      </c>
      <c r="U40" s="25" t="str">
        <f t="shared" ca="1" si="1"/>
        <v/>
      </c>
      <c r="V40" s="24" t="str">
        <f t="shared" si="2"/>
        <v/>
      </c>
      <c r="W40" s="25" t="str">
        <f>IF(V40="","",IF(V40&lt;=0,"Renovar",IF(V40&lt;=Listas!$T$3,"Próximo a renovar","Vigente")))</f>
        <v/>
      </c>
      <c r="X40" s="26"/>
    </row>
    <row r="41" spans="1:24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7"/>
      <c r="K41" s="26"/>
      <c r="L41" s="26"/>
      <c r="M41" s="26"/>
      <c r="N41" s="28"/>
      <c r="O41" s="29"/>
      <c r="P41" s="27"/>
      <c r="Q41" s="26"/>
      <c r="R41" s="26"/>
      <c r="S41" s="26"/>
      <c r="T41" s="24" t="str">
        <f t="shared" ca="1" si="0"/>
        <v/>
      </c>
      <c r="U41" s="25" t="str">
        <f t="shared" ca="1" si="1"/>
        <v/>
      </c>
      <c r="V41" s="24" t="str">
        <f t="shared" si="2"/>
        <v/>
      </c>
      <c r="W41" s="25" t="str">
        <f>IF(V41="","",IF(V41&lt;=0,"Renovar",IF(V41&lt;=Listas!$T$3,"Próximo a renovar","Vigente")))</f>
        <v/>
      </c>
      <c r="X41" s="26"/>
    </row>
    <row r="42" spans="1:24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7"/>
      <c r="K42" s="26"/>
      <c r="L42" s="26"/>
      <c r="M42" s="26"/>
      <c r="N42" s="28"/>
      <c r="O42" s="29"/>
      <c r="P42" s="27"/>
      <c r="Q42" s="26"/>
      <c r="R42" s="26"/>
      <c r="S42" s="26"/>
      <c r="T42" s="24" t="str">
        <f t="shared" ca="1" si="0"/>
        <v/>
      </c>
      <c r="U42" s="25" t="str">
        <f t="shared" ca="1" si="1"/>
        <v/>
      </c>
      <c r="V42" s="24" t="str">
        <f t="shared" si="2"/>
        <v/>
      </c>
      <c r="W42" s="25" t="str">
        <f>IF(V42="","",IF(V42&lt;=0,"Renovar",IF(V42&lt;=Listas!$T$3,"Próximo a renovar","Vigente")))</f>
        <v/>
      </c>
      <c r="X42" s="26"/>
    </row>
    <row r="43" spans="1:24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7"/>
      <c r="K43" s="26"/>
      <c r="L43" s="26"/>
      <c r="M43" s="26"/>
      <c r="N43" s="28"/>
      <c r="O43" s="29"/>
      <c r="P43" s="27"/>
      <c r="Q43" s="26"/>
      <c r="R43" s="26"/>
      <c r="S43" s="26"/>
      <c r="T43" s="24" t="str">
        <f t="shared" ca="1" si="0"/>
        <v/>
      </c>
      <c r="U43" s="25" t="str">
        <f t="shared" ca="1" si="1"/>
        <v/>
      </c>
      <c r="V43" s="24" t="str">
        <f t="shared" si="2"/>
        <v/>
      </c>
      <c r="W43" s="25" t="str">
        <f>IF(V43="","",IF(V43&lt;=0,"Renovar",IF(V43&lt;=Listas!$T$3,"Próximo a renovar","Vigente")))</f>
        <v/>
      </c>
      <c r="X43" s="26"/>
    </row>
    <row r="44" spans="1:24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7"/>
      <c r="K44" s="26"/>
      <c r="L44" s="26"/>
      <c r="M44" s="26"/>
      <c r="N44" s="28"/>
      <c r="O44" s="29"/>
      <c r="P44" s="27"/>
      <c r="Q44" s="26"/>
      <c r="R44" s="26"/>
      <c r="S44" s="26"/>
      <c r="T44" s="24" t="str">
        <f t="shared" ca="1" si="0"/>
        <v/>
      </c>
      <c r="U44" s="25" t="str">
        <f t="shared" ca="1" si="1"/>
        <v/>
      </c>
      <c r="V44" s="24" t="str">
        <f t="shared" si="2"/>
        <v/>
      </c>
      <c r="W44" s="25" t="str">
        <f>IF(V44="","",IF(V44&lt;=0,"Renovar",IF(V44&lt;=Listas!$T$3,"Próximo a renovar","Vigente")))</f>
        <v/>
      </c>
      <c r="X44" s="26"/>
    </row>
    <row r="45" spans="1:24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7"/>
      <c r="K45" s="26"/>
      <c r="L45" s="26"/>
      <c r="M45" s="26"/>
      <c r="N45" s="28"/>
      <c r="O45" s="29"/>
      <c r="P45" s="27"/>
      <c r="Q45" s="26"/>
      <c r="R45" s="26"/>
      <c r="S45" s="26"/>
      <c r="T45" s="24" t="str">
        <f t="shared" ca="1" si="0"/>
        <v/>
      </c>
      <c r="U45" s="25" t="str">
        <f t="shared" ca="1" si="1"/>
        <v/>
      </c>
      <c r="V45" s="24" t="str">
        <f t="shared" si="2"/>
        <v/>
      </c>
      <c r="W45" s="25" t="str">
        <f>IF(V45="","",IF(V45&lt;=0,"Renovar",IF(V45&lt;=Listas!$T$3,"Próximo a renovar","Vigente")))</f>
        <v/>
      </c>
      <c r="X45" s="26"/>
    </row>
    <row r="46" spans="1:24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7"/>
      <c r="K46" s="26"/>
      <c r="L46" s="26"/>
      <c r="M46" s="26"/>
      <c r="N46" s="28"/>
      <c r="O46" s="29"/>
      <c r="P46" s="27"/>
      <c r="Q46" s="26"/>
      <c r="R46" s="26"/>
      <c r="S46" s="26"/>
      <c r="T46" s="24" t="str">
        <f t="shared" ca="1" si="0"/>
        <v/>
      </c>
      <c r="U46" s="25" t="str">
        <f t="shared" ca="1" si="1"/>
        <v/>
      </c>
      <c r="V46" s="24" t="str">
        <f t="shared" si="2"/>
        <v/>
      </c>
      <c r="W46" s="25" t="str">
        <f>IF(V46="","",IF(V46&lt;=0,"Renovar",IF(V46&lt;=Listas!$T$3,"Próximo a renovar","Vigente")))</f>
        <v/>
      </c>
      <c r="X46" s="26"/>
    </row>
    <row r="47" spans="1:24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7"/>
      <c r="K47" s="26"/>
      <c r="L47" s="26"/>
      <c r="M47" s="26"/>
      <c r="N47" s="28"/>
      <c r="O47" s="29"/>
      <c r="P47" s="27"/>
      <c r="Q47" s="26"/>
      <c r="R47" s="26"/>
      <c r="S47" s="26"/>
      <c r="T47" s="24" t="str">
        <f t="shared" ca="1" si="0"/>
        <v/>
      </c>
      <c r="U47" s="25" t="str">
        <f t="shared" ca="1" si="1"/>
        <v/>
      </c>
      <c r="V47" s="24" t="str">
        <f t="shared" si="2"/>
        <v/>
      </c>
      <c r="W47" s="25" t="str">
        <f>IF(V47="","",IF(V47&lt;=0,"Renovar",IF(V47&lt;=Listas!$T$3,"Próximo a renovar","Vigente")))</f>
        <v/>
      </c>
      <c r="X47" s="26"/>
    </row>
    <row r="48" spans="1:24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7"/>
      <c r="K48" s="26"/>
      <c r="L48" s="26"/>
      <c r="M48" s="26"/>
      <c r="N48" s="28"/>
      <c r="O48" s="29"/>
      <c r="P48" s="27"/>
      <c r="Q48" s="26"/>
      <c r="R48" s="26"/>
      <c r="S48" s="26"/>
      <c r="T48" s="24" t="str">
        <f t="shared" ca="1" si="0"/>
        <v/>
      </c>
      <c r="U48" s="25" t="str">
        <f t="shared" ca="1" si="1"/>
        <v/>
      </c>
      <c r="V48" s="24" t="str">
        <f t="shared" si="2"/>
        <v/>
      </c>
      <c r="W48" s="25" t="str">
        <f>IF(V48="","",IF(V48&lt;=0,"Renovar",IF(V48&lt;=Listas!$T$3,"Próximo a renovar","Vigente")))</f>
        <v/>
      </c>
      <c r="X48" s="26"/>
    </row>
    <row r="49" spans="1:24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7"/>
      <c r="K49" s="26"/>
      <c r="L49" s="26"/>
      <c r="M49" s="26"/>
      <c r="N49" s="28"/>
      <c r="O49" s="29"/>
      <c r="P49" s="27"/>
      <c r="Q49" s="26"/>
      <c r="R49" s="26"/>
      <c r="S49" s="26"/>
      <c r="T49" s="24" t="str">
        <f t="shared" ca="1" si="0"/>
        <v/>
      </c>
      <c r="U49" s="25" t="str">
        <f t="shared" ca="1" si="1"/>
        <v/>
      </c>
      <c r="V49" s="24" t="str">
        <f t="shared" si="2"/>
        <v/>
      </c>
      <c r="W49" s="25" t="str">
        <f>IF(V49="","",IF(V49&lt;=0,"Renovar",IF(V49&lt;=Listas!$T$3,"Próximo a renovar","Vigente")))</f>
        <v/>
      </c>
      <c r="X49" s="26"/>
    </row>
    <row r="50" spans="1:24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7"/>
      <c r="K50" s="26"/>
      <c r="L50" s="26"/>
      <c r="M50" s="26"/>
      <c r="N50" s="28"/>
      <c r="O50" s="29"/>
      <c r="P50" s="27"/>
      <c r="Q50" s="26"/>
      <c r="R50" s="26"/>
      <c r="S50" s="26"/>
      <c r="T50" s="24" t="str">
        <f t="shared" ca="1" si="0"/>
        <v/>
      </c>
      <c r="U50" s="25" t="str">
        <f t="shared" ca="1" si="1"/>
        <v/>
      </c>
      <c r="V50" s="24" t="str">
        <f t="shared" si="2"/>
        <v/>
      </c>
      <c r="W50" s="25" t="str">
        <f>IF(V50="","",IF(V50&lt;=0,"Renovar",IF(V50&lt;=Listas!$T$3,"Próximo a renovar","Vigente")))</f>
        <v/>
      </c>
      <c r="X50" s="26"/>
    </row>
    <row r="51" spans="1:24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7"/>
      <c r="K51" s="26"/>
      <c r="L51" s="26"/>
      <c r="M51" s="26"/>
      <c r="N51" s="28"/>
      <c r="O51" s="29"/>
      <c r="P51" s="27"/>
      <c r="Q51" s="26"/>
      <c r="R51" s="26"/>
      <c r="S51" s="26"/>
      <c r="T51" s="24" t="str">
        <f t="shared" ca="1" si="0"/>
        <v/>
      </c>
      <c r="U51" s="25" t="str">
        <f t="shared" ca="1" si="1"/>
        <v/>
      </c>
      <c r="V51" s="24" t="str">
        <f t="shared" si="2"/>
        <v/>
      </c>
      <c r="W51" s="25" t="str">
        <f>IF(V51="","",IF(V51&lt;=0,"Renovar",IF(V51&lt;=Listas!$T$3,"Próximo a renovar","Vigente")))</f>
        <v/>
      </c>
      <c r="X51" s="26"/>
    </row>
    <row r="52" spans="1:24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7"/>
      <c r="K52" s="26"/>
      <c r="L52" s="26"/>
      <c r="M52" s="26"/>
      <c r="N52" s="28"/>
      <c r="O52" s="29"/>
      <c r="P52" s="27"/>
      <c r="Q52" s="26"/>
      <c r="R52" s="26"/>
      <c r="S52" s="26"/>
      <c r="T52" s="24" t="str">
        <f t="shared" ca="1" si="0"/>
        <v/>
      </c>
      <c r="U52" s="25" t="str">
        <f t="shared" ca="1" si="1"/>
        <v/>
      </c>
      <c r="V52" s="24" t="str">
        <f t="shared" si="2"/>
        <v/>
      </c>
      <c r="W52" s="25" t="str">
        <f>IF(V52="","",IF(V52&lt;=0,"Renovar",IF(V52&lt;=Listas!$T$3,"Próximo a renovar","Vigente")))</f>
        <v/>
      </c>
      <c r="X52" s="26"/>
    </row>
    <row r="53" spans="1:24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7"/>
      <c r="K53" s="26"/>
      <c r="L53" s="26"/>
      <c r="M53" s="26"/>
      <c r="N53" s="28"/>
      <c r="O53" s="29"/>
      <c r="P53" s="27"/>
      <c r="Q53" s="26"/>
      <c r="R53" s="26"/>
      <c r="S53" s="26"/>
      <c r="T53" s="24" t="str">
        <f t="shared" ca="1" si="0"/>
        <v/>
      </c>
      <c r="U53" s="25" t="str">
        <f t="shared" ca="1" si="1"/>
        <v/>
      </c>
      <c r="V53" s="24" t="str">
        <f t="shared" si="2"/>
        <v/>
      </c>
      <c r="W53" s="25" t="str">
        <f>IF(V53="","",IF(V53&lt;=0,"Renovar",IF(V53&lt;=Listas!$T$3,"Próximo a renovar","Vigente")))</f>
        <v/>
      </c>
      <c r="X53" s="26"/>
    </row>
    <row r="54" spans="1:24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7"/>
      <c r="K54" s="26"/>
      <c r="L54" s="26"/>
      <c r="M54" s="26"/>
      <c r="N54" s="28"/>
      <c r="O54" s="29"/>
      <c r="P54" s="27"/>
      <c r="Q54" s="26"/>
      <c r="R54" s="26"/>
      <c r="S54" s="26"/>
      <c r="T54" s="24" t="str">
        <f t="shared" ca="1" si="0"/>
        <v/>
      </c>
      <c r="U54" s="25" t="str">
        <f t="shared" ca="1" si="1"/>
        <v/>
      </c>
      <c r="V54" s="24" t="str">
        <f t="shared" si="2"/>
        <v/>
      </c>
      <c r="W54" s="25" t="str">
        <f>IF(V54="","",IF(V54&lt;=0,"Renovar",IF(V54&lt;=Listas!$T$3,"Próximo a renovar","Vigente")))</f>
        <v/>
      </c>
      <c r="X54" s="26"/>
    </row>
    <row r="55" spans="1:24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7"/>
      <c r="K55" s="26"/>
      <c r="L55" s="26"/>
      <c r="M55" s="26"/>
      <c r="N55" s="28"/>
      <c r="O55" s="29"/>
      <c r="P55" s="27"/>
      <c r="Q55" s="26"/>
      <c r="R55" s="26"/>
      <c r="S55" s="26"/>
      <c r="T55" s="24" t="str">
        <f t="shared" ca="1" si="0"/>
        <v/>
      </c>
      <c r="U55" s="25" t="str">
        <f t="shared" ca="1" si="1"/>
        <v/>
      </c>
      <c r="V55" s="24" t="str">
        <f t="shared" si="2"/>
        <v/>
      </c>
      <c r="W55" s="25" t="str">
        <f>IF(V55="","",IF(V55&lt;=0,"Renovar",IF(V55&lt;=Listas!$T$3,"Próximo a renovar","Vigente")))</f>
        <v/>
      </c>
      <c r="X55" s="26"/>
    </row>
    <row r="56" spans="1:24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7"/>
      <c r="K56" s="26"/>
      <c r="L56" s="26"/>
      <c r="M56" s="26"/>
      <c r="N56" s="28"/>
      <c r="O56" s="29"/>
      <c r="P56" s="27"/>
      <c r="Q56" s="26"/>
      <c r="R56" s="26"/>
      <c r="S56" s="26"/>
      <c r="T56" s="24" t="str">
        <f t="shared" ca="1" si="0"/>
        <v/>
      </c>
      <c r="U56" s="25" t="str">
        <f t="shared" ca="1" si="1"/>
        <v/>
      </c>
      <c r="V56" s="24" t="str">
        <f t="shared" si="2"/>
        <v/>
      </c>
      <c r="W56" s="25" t="str">
        <f>IF(V56="","",IF(V56&lt;=0,"Renovar",IF(V56&lt;=Listas!$T$3,"Próximo a renovar","Vigente")))</f>
        <v/>
      </c>
      <c r="X56" s="26"/>
    </row>
    <row r="57" spans="1:24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7"/>
      <c r="K57" s="26"/>
      <c r="L57" s="26"/>
      <c r="M57" s="26"/>
      <c r="N57" s="28"/>
      <c r="O57" s="29"/>
      <c r="P57" s="27"/>
      <c r="Q57" s="26"/>
      <c r="R57" s="26"/>
      <c r="S57" s="26"/>
      <c r="T57" s="24" t="str">
        <f t="shared" ca="1" si="0"/>
        <v/>
      </c>
      <c r="U57" s="25" t="str">
        <f t="shared" ca="1" si="1"/>
        <v/>
      </c>
      <c r="V57" s="24" t="str">
        <f t="shared" si="2"/>
        <v/>
      </c>
      <c r="W57" s="25" t="str">
        <f>IF(V57="","",IF(V57&lt;=0,"Renovar",IF(V57&lt;=Listas!$T$3,"Próximo a renovar","Vigente")))</f>
        <v/>
      </c>
      <c r="X57" s="26"/>
    </row>
    <row r="58" spans="1:24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7"/>
      <c r="K58" s="26"/>
      <c r="L58" s="26"/>
      <c r="M58" s="26"/>
      <c r="N58" s="28"/>
      <c r="O58" s="29"/>
      <c r="P58" s="27"/>
      <c r="Q58" s="26"/>
      <c r="R58" s="26"/>
      <c r="S58" s="26"/>
      <c r="T58" s="24" t="str">
        <f t="shared" ca="1" si="0"/>
        <v/>
      </c>
      <c r="U58" s="25" t="str">
        <f t="shared" ca="1" si="1"/>
        <v/>
      </c>
      <c r="V58" s="24" t="str">
        <f t="shared" si="2"/>
        <v/>
      </c>
      <c r="W58" s="25" t="str">
        <f>IF(V58="","",IF(V58&lt;=0,"Renovar",IF(V58&lt;=Listas!$T$3,"Próximo a renovar","Vigente")))</f>
        <v/>
      </c>
      <c r="X58" s="26"/>
    </row>
    <row r="59" spans="1:24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7"/>
      <c r="K59" s="26"/>
      <c r="L59" s="26"/>
      <c r="M59" s="26"/>
      <c r="N59" s="28"/>
      <c r="O59" s="29"/>
      <c r="P59" s="27"/>
      <c r="Q59" s="26"/>
      <c r="R59" s="26"/>
      <c r="S59" s="26"/>
      <c r="T59" s="24" t="str">
        <f t="shared" ca="1" si="0"/>
        <v/>
      </c>
      <c r="U59" s="25" t="str">
        <f t="shared" ca="1" si="1"/>
        <v/>
      </c>
      <c r="V59" s="24" t="str">
        <f t="shared" si="2"/>
        <v/>
      </c>
      <c r="W59" s="25" t="str">
        <f>IF(V59="","",IF(V59&lt;=0,"Renovar",IF(V59&lt;=Listas!$T$3,"Próximo a renovar","Vigente")))</f>
        <v/>
      </c>
      <c r="X59" s="26"/>
    </row>
    <row r="60" spans="1:24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7"/>
      <c r="K60" s="26"/>
      <c r="L60" s="26"/>
      <c r="M60" s="26"/>
      <c r="N60" s="28"/>
      <c r="O60" s="29"/>
      <c r="P60" s="27"/>
      <c r="Q60" s="26"/>
      <c r="R60" s="26"/>
      <c r="S60" s="26"/>
      <c r="T60" s="24" t="str">
        <f t="shared" ca="1" si="0"/>
        <v/>
      </c>
      <c r="U60" s="25" t="str">
        <f t="shared" ca="1" si="1"/>
        <v/>
      </c>
      <c r="V60" s="24" t="str">
        <f t="shared" si="2"/>
        <v/>
      </c>
      <c r="W60" s="25" t="str">
        <f>IF(V60="","",IF(V60&lt;=0,"Renovar",IF(V60&lt;=Listas!$T$3,"Próximo a renovar","Vigente")))</f>
        <v/>
      </c>
      <c r="X60" s="26"/>
    </row>
    <row r="61" spans="1:24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7"/>
      <c r="K61" s="26"/>
      <c r="L61" s="26"/>
      <c r="M61" s="26"/>
      <c r="N61" s="28"/>
      <c r="O61" s="29"/>
      <c r="P61" s="27"/>
      <c r="Q61" s="26"/>
      <c r="R61" s="26"/>
      <c r="S61" s="26"/>
      <c r="T61" s="24" t="str">
        <f t="shared" ca="1" si="0"/>
        <v/>
      </c>
      <c r="U61" s="25" t="str">
        <f t="shared" ca="1" si="1"/>
        <v/>
      </c>
      <c r="V61" s="24" t="str">
        <f t="shared" si="2"/>
        <v/>
      </c>
      <c r="W61" s="25" t="str">
        <f>IF(V61="","",IF(V61&lt;=0,"Renovar",IF(V61&lt;=Listas!$T$3,"Próximo a renovar","Vigente")))</f>
        <v/>
      </c>
      <c r="X61" s="26"/>
    </row>
    <row r="62" spans="1:24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7"/>
      <c r="K62" s="26"/>
      <c r="L62" s="26"/>
      <c r="M62" s="26"/>
      <c r="N62" s="28"/>
      <c r="O62" s="29"/>
      <c r="P62" s="27"/>
      <c r="Q62" s="26"/>
      <c r="R62" s="26"/>
      <c r="S62" s="26"/>
      <c r="T62" s="24" t="str">
        <f t="shared" ca="1" si="0"/>
        <v/>
      </c>
      <c r="U62" s="25" t="str">
        <f t="shared" ca="1" si="1"/>
        <v/>
      </c>
      <c r="V62" s="24" t="str">
        <f t="shared" si="2"/>
        <v/>
      </c>
      <c r="W62" s="25" t="str">
        <f>IF(V62="","",IF(V62&lt;=0,"Renovar",IF(V62&lt;=Listas!$T$3,"Próximo a renovar","Vigente")))</f>
        <v/>
      </c>
      <c r="X62" s="26"/>
    </row>
    <row r="63" spans="1:24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7"/>
      <c r="K63" s="26"/>
      <c r="L63" s="26"/>
      <c r="M63" s="26"/>
      <c r="N63" s="28"/>
      <c r="O63" s="29"/>
      <c r="P63" s="27"/>
      <c r="Q63" s="26"/>
      <c r="R63" s="26"/>
      <c r="S63" s="26"/>
      <c r="T63" s="24" t="str">
        <f t="shared" ca="1" si="0"/>
        <v/>
      </c>
      <c r="U63" s="25" t="str">
        <f t="shared" ca="1" si="1"/>
        <v/>
      </c>
      <c r="V63" s="24" t="str">
        <f t="shared" si="2"/>
        <v/>
      </c>
      <c r="W63" s="25" t="str">
        <f>IF(V63="","",IF(V63&lt;=0,"Renovar",IF(V63&lt;=Listas!$T$3,"Próximo a renovar","Vigente")))</f>
        <v/>
      </c>
      <c r="X63" s="26"/>
    </row>
    <row r="64" spans="1:24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7"/>
      <c r="K64" s="26"/>
      <c r="L64" s="26"/>
      <c r="M64" s="26"/>
      <c r="N64" s="28"/>
      <c r="O64" s="29"/>
      <c r="P64" s="27"/>
      <c r="Q64" s="26"/>
      <c r="R64" s="26"/>
      <c r="S64" s="26"/>
      <c r="T64" s="24" t="str">
        <f t="shared" ca="1" si="0"/>
        <v/>
      </c>
      <c r="U64" s="25" t="str">
        <f t="shared" ca="1" si="1"/>
        <v/>
      </c>
      <c r="V64" s="24" t="str">
        <f t="shared" si="2"/>
        <v/>
      </c>
      <c r="W64" s="25" t="str">
        <f>IF(V64="","",IF(V64&lt;=0,"Renovar",IF(V64&lt;=Listas!$T$3,"Próximo a renovar","Vigente")))</f>
        <v/>
      </c>
      <c r="X64" s="26"/>
    </row>
    <row r="65" spans="1:24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7"/>
      <c r="K65" s="26"/>
      <c r="L65" s="26"/>
      <c r="M65" s="26"/>
      <c r="N65" s="28"/>
      <c r="O65" s="29"/>
      <c r="P65" s="27"/>
      <c r="Q65" s="26"/>
      <c r="R65" s="26"/>
      <c r="S65" s="26"/>
      <c r="T65" s="24" t="str">
        <f t="shared" ca="1" si="0"/>
        <v/>
      </c>
      <c r="U65" s="25" t="str">
        <f t="shared" ca="1" si="1"/>
        <v/>
      </c>
      <c r="V65" s="24" t="str">
        <f t="shared" si="2"/>
        <v/>
      </c>
      <c r="W65" s="25" t="str">
        <f>IF(V65="","",IF(V65&lt;=0,"Renovar",IF(V65&lt;=Listas!$T$3,"Próximo a renovar","Vigente")))</f>
        <v/>
      </c>
      <c r="X65" s="26"/>
    </row>
    <row r="66" spans="1:24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7"/>
      <c r="K66" s="26"/>
      <c r="L66" s="26"/>
      <c r="M66" s="26"/>
      <c r="N66" s="28"/>
      <c r="O66" s="29"/>
      <c r="P66" s="27"/>
      <c r="Q66" s="26"/>
      <c r="R66" s="26"/>
      <c r="S66" s="26"/>
      <c r="T66" s="24" t="str">
        <f t="shared" ca="1" si="0"/>
        <v/>
      </c>
      <c r="U66" s="25" t="str">
        <f t="shared" ca="1" si="1"/>
        <v/>
      </c>
      <c r="V66" s="24" t="str">
        <f t="shared" si="2"/>
        <v/>
      </c>
      <c r="W66" s="25" t="str">
        <f>IF(V66="","",IF(V66&lt;=0,"Renovar",IF(V66&lt;=Listas!$T$3,"Próximo a renovar","Vigente")))</f>
        <v/>
      </c>
      <c r="X66" s="26"/>
    </row>
    <row r="67" spans="1:24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7"/>
      <c r="K67" s="26"/>
      <c r="L67" s="26"/>
      <c r="M67" s="26"/>
      <c r="N67" s="28"/>
      <c r="O67" s="29"/>
      <c r="P67" s="27"/>
      <c r="Q67" s="26"/>
      <c r="R67" s="26"/>
      <c r="S67" s="26"/>
      <c r="T67" s="24" t="str">
        <f t="shared" ca="1" si="0"/>
        <v/>
      </c>
      <c r="U67" s="25" t="str">
        <f t="shared" ca="1" si="1"/>
        <v/>
      </c>
      <c r="V67" s="24" t="str">
        <f t="shared" si="2"/>
        <v/>
      </c>
      <c r="W67" s="25" t="str">
        <f>IF(V67="","",IF(V67&lt;=0,"Renovar",IF(V67&lt;=Listas!$T$3,"Próximo a renovar","Vigente")))</f>
        <v/>
      </c>
      <c r="X67" s="26"/>
    </row>
    <row r="68" spans="1:24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7"/>
      <c r="K68" s="26"/>
      <c r="L68" s="26"/>
      <c r="M68" s="26"/>
      <c r="N68" s="28"/>
      <c r="O68" s="29"/>
      <c r="P68" s="27"/>
      <c r="Q68" s="26"/>
      <c r="R68" s="26"/>
      <c r="S68" s="26"/>
      <c r="T68" s="24" t="str">
        <f t="shared" ca="1" si="0"/>
        <v/>
      </c>
      <c r="U68" s="25" t="str">
        <f t="shared" ca="1" si="1"/>
        <v/>
      </c>
      <c r="V68" s="24" t="str">
        <f t="shared" si="2"/>
        <v/>
      </c>
      <c r="W68" s="25" t="str">
        <f>IF(V68="","",IF(V68&lt;=0,"Renovar",IF(V68&lt;=Listas!$T$3,"Próximo a renovar","Vigente")))</f>
        <v/>
      </c>
      <c r="X68" s="26"/>
    </row>
    <row r="69" spans="1:24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7"/>
      <c r="K69" s="26"/>
      <c r="L69" s="26"/>
      <c r="M69" s="26"/>
      <c r="N69" s="28"/>
      <c r="O69" s="29"/>
      <c r="P69" s="27"/>
      <c r="Q69" s="26"/>
      <c r="R69" s="26"/>
      <c r="S69" s="26"/>
      <c r="T69" s="24" t="str">
        <f t="shared" ref="T69:T132" ca="1" si="3">IF(J69="","",ROUND((TODAY()-J69)/365.25,1))</f>
        <v/>
      </c>
      <c r="U69" s="25" t="str">
        <f t="shared" ref="U69:U132" ca="1" si="4">IF(P69="","",IF(P69&gt;=TODAY(),"Vigente","Vencida"))</f>
        <v/>
      </c>
      <c r="V69" s="24" t="str">
        <f t="shared" ref="V69:V132" si="5">IF(OR(J69="",O69=""),"",ROUND(O69-T69,1))</f>
        <v/>
      </c>
      <c r="W69" s="25" t="str">
        <f>IF(V69="","",IF(V69&lt;=0,"Renovar",IF(V69&lt;=Listas!$T$3,"Próximo a renovar","Vigente")))</f>
        <v/>
      </c>
      <c r="X69" s="26"/>
    </row>
    <row r="70" spans="1:24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7"/>
      <c r="K70" s="26"/>
      <c r="L70" s="26"/>
      <c r="M70" s="26"/>
      <c r="N70" s="28"/>
      <c r="O70" s="29"/>
      <c r="P70" s="27"/>
      <c r="Q70" s="26"/>
      <c r="R70" s="26"/>
      <c r="S70" s="26"/>
      <c r="T70" s="24" t="str">
        <f t="shared" ca="1" si="3"/>
        <v/>
      </c>
      <c r="U70" s="25" t="str">
        <f t="shared" ca="1" si="4"/>
        <v/>
      </c>
      <c r="V70" s="24" t="str">
        <f t="shared" si="5"/>
        <v/>
      </c>
      <c r="W70" s="25" t="str">
        <f>IF(V70="","",IF(V70&lt;=0,"Renovar",IF(V70&lt;=Listas!$T$3,"Próximo a renovar","Vigente")))</f>
        <v/>
      </c>
      <c r="X70" s="26"/>
    </row>
    <row r="71" spans="1:24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7"/>
      <c r="K71" s="26"/>
      <c r="L71" s="26"/>
      <c r="M71" s="26"/>
      <c r="N71" s="28"/>
      <c r="O71" s="29"/>
      <c r="P71" s="27"/>
      <c r="Q71" s="26"/>
      <c r="R71" s="26"/>
      <c r="S71" s="26"/>
      <c r="T71" s="24" t="str">
        <f t="shared" ca="1" si="3"/>
        <v/>
      </c>
      <c r="U71" s="25" t="str">
        <f t="shared" ca="1" si="4"/>
        <v/>
      </c>
      <c r="V71" s="24" t="str">
        <f t="shared" si="5"/>
        <v/>
      </c>
      <c r="W71" s="25" t="str">
        <f>IF(V71="","",IF(V71&lt;=0,"Renovar",IF(V71&lt;=Listas!$T$3,"Próximo a renovar","Vigente")))</f>
        <v/>
      </c>
      <c r="X71" s="26"/>
    </row>
    <row r="72" spans="1:24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7"/>
      <c r="K72" s="26"/>
      <c r="L72" s="26"/>
      <c r="M72" s="26"/>
      <c r="N72" s="28"/>
      <c r="O72" s="29"/>
      <c r="P72" s="27"/>
      <c r="Q72" s="26"/>
      <c r="R72" s="26"/>
      <c r="S72" s="26"/>
      <c r="T72" s="24" t="str">
        <f t="shared" ca="1" si="3"/>
        <v/>
      </c>
      <c r="U72" s="25" t="str">
        <f t="shared" ca="1" si="4"/>
        <v/>
      </c>
      <c r="V72" s="24" t="str">
        <f t="shared" si="5"/>
        <v/>
      </c>
      <c r="W72" s="25" t="str">
        <f>IF(V72="","",IF(V72&lt;=0,"Renovar",IF(V72&lt;=Listas!$T$3,"Próximo a renovar","Vigente")))</f>
        <v/>
      </c>
      <c r="X72" s="26"/>
    </row>
    <row r="73" spans="1:24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7"/>
      <c r="K73" s="26"/>
      <c r="L73" s="26"/>
      <c r="M73" s="26"/>
      <c r="N73" s="28"/>
      <c r="O73" s="29"/>
      <c r="P73" s="27"/>
      <c r="Q73" s="26"/>
      <c r="R73" s="26"/>
      <c r="S73" s="26"/>
      <c r="T73" s="24" t="str">
        <f t="shared" ca="1" si="3"/>
        <v/>
      </c>
      <c r="U73" s="25" t="str">
        <f t="shared" ca="1" si="4"/>
        <v/>
      </c>
      <c r="V73" s="24" t="str">
        <f t="shared" si="5"/>
        <v/>
      </c>
      <c r="W73" s="25" t="str">
        <f>IF(V73="","",IF(V73&lt;=0,"Renovar",IF(V73&lt;=Listas!$T$3,"Próximo a renovar","Vigente")))</f>
        <v/>
      </c>
      <c r="X73" s="26"/>
    </row>
    <row r="74" spans="1:24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7"/>
      <c r="K74" s="26"/>
      <c r="L74" s="26"/>
      <c r="M74" s="26"/>
      <c r="N74" s="28"/>
      <c r="O74" s="29"/>
      <c r="P74" s="27"/>
      <c r="Q74" s="26"/>
      <c r="R74" s="26"/>
      <c r="S74" s="26"/>
      <c r="T74" s="24" t="str">
        <f t="shared" ca="1" si="3"/>
        <v/>
      </c>
      <c r="U74" s="25" t="str">
        <f t="shared" ca="1" si="4"/>
        <v/>
      </c>
      <c r="V74" s="24" t="str">
        <f t="shared" si="5"/>
        <v/>
      </c>
      <c r="W74" s="25" t="str">
        <f>IF(V74="","",IF(V74&lt;=0,"Renovar",IF(V74&lt;=Listas!$T$3,"Próximo a renovar","Vigente")))</f>
        <v/>
      </c>
      <c r="X74" s="26"/>
    </row>
    <row r="75" spans="1:24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7"/>
      <c r="K75" s="26"/>
      <c r="L75" s="26"/>
      <c r="M75" s="26"/>
      <c r="N75" s="28"/>
      <c r="O75" s="29"/>
      <c r="P75" s="27"/>
      <c r="Q75" s="26"/>
      <c r="R75" s="26"/>
      <c r="S75" s="26"/>
      <c r="T75" s="24" t="str">
        <f t="shared" ca="1" si="3"/>
        <v/>
      </c>
      <c r="U75" s="25" t="str">
        <f t="shared" ca="1" si="4"/>
        <v/>
      </c>
      <c r="V75" s="24" t="str">
        <f t="shared" si="5"/>
        <v/>
      </c>
      <c r="W75" s="25" t="str">
        <f>IF(V75="","",IF(V75&lt;=0,"Renovar",IF(V75&lt;=Listas!$T$3,"Próximo a renovar","Vigente")))</f>
        <v/>
      </c>
      <c r="X75" s="26"/>
    </row>
    <row r="76" spans="1:24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7"/>
      <c r="K76" s="26"/>
      <c r="L76" s="26"/>
      <c r="M76" s="26"/>
      <c r="N76" s="28"/>
      <c r="O76" s="29"/>
      <c r="P76" s="27"/>
      <c r="Q76" s="26"/>
      <c r="R76" s="26"/>
      <c r="S76" s="26"/>
      <c r="T76" s="24" t="str">
        <f t="shared" ca="1" si="3"/>
        <v/>
      </c>
      <c r="U76" s="25" t="str">
        <f t="shared" ca="1" si="4"/>
        <v/>
      </c>
      <c r="V76" s="24" t="str">
        <f t="shared" si="5"/>
        <v/>
      </c>
      <c r="W76" s="25" t="str">
        <f>IF(V76="","",IF(V76&lt;=0,"Renovar",IF(V76&lt;=Listas!$T$3,"Próximo a renovar","Vigente")))</f>
        <v/>
      </c>
      <c r="X76" s="26"/>
    </row>
    <row r="77" spans="1:24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7"/>
      <c r="K77" s="26"/>
      <c r="L77" s="26"/>
      <c r="M77" s="26"/>
      <c r="N77" s="28"/>
      <c r="O77" s="29"/>
      <c r="P77" s="27"/>
      <c r="Q77" s="26"/>
      <c r="R77" s="26"/>
      <c r="S77" s="26"/>
      <c r="T77" s="24" t="str">
        <f t="shared" ca="1" si="3"/>
        <v/>
      </c>
      <c r="U77" s="25" t="str">
        <f t="shared" ca="1" si="4"/>
        <v/>
      </c>
      <c r="V77" s="24" t="str">
        <f t="shared" si="5"/>
        <v/>
      </c>
      <c r="W77" s="25" t="str">
        <f>IF(V77="","",IF(V77&lt;=0,"Renovar",IF(V77&lt;=Listas!$T$3,"Próximo a renovar","Vigente")))</f>
        <v/>
      </c>
      <c r="X77" s="26"/>
    </row>
    <row r="78" spans="1:24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7"/>
      <c r="K78" s="26"/>
      <c r="L78" s="26"/>
      <c r="M78" s="26"/>
      <c r="N78" s="28"/>
      <c r="O78" s="29"/>
      <c r="P78" s="27"/>
      <c r="Q78" s="26"/>
      <c r="R78" s="26"/>
      <c r="S78" s="26"/>
      <c r="T78" s="24" t="str">
        <f t="shared" ca="1" si="3"/>
        <v/>
      </c>
      <c r="U78" s="25" t="str">
        <f t="shared" ca="1" si="4"/>
        <v/>
      </c>
      <c r="V78" s="24" t="str">
        <f t="shared" si="5"/>
        <v/>
      </c>
      <c r="W78" s="25" t="str">
        <f>IF(V78="","",IF(V78&lt;=0,"Renovar",IF(V78&lt;=Listas!$T$3,"Próximo a renovar","Vigente")))</f>
        <v/>
      </c>
      <c r="X78" s="26"/>
    </row>
    <row r="79" spans="1:24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7"/>
      <c r="K79" s="26"/>
      <c r="L79" s="26"/>
      <c r="M79" s="26"/>
      <c r="N79" s="28"/>
      <c r="O79" s="29"/>
      <c r="P79" s="27"/>
      <c r="Q79" s="26"/>
      <c r="R79" s="26"/>
      <c r="S79" s="26"/>
      <c r="T79" s="24" t="str">
        <f t="shared" ca="1" si="3"/>
        <v/>
      </c>
      <c r="U79" s="25" t="str">
        <f t="shared" ca="1" si="4"/>
        <v/>
      </c>
      <c r="V79" s="24" t="str">
        <f t="shared" si="5"/>
        <v/>
      </c>
      <c r="W79" s="25" t="str">
        <f>IF(V79="","",IF(V79&lt;=0,"Renovar",IF(V79&lt;=Listas!$T$3,"Próximo a renovar","Vigente")))</f>
        <v/>
      </c>
      <c r="X79" s="26"/>
    </row>
    <row r="80" spans="1:24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7"/>
      <c r="K80" s="26"/>
      <c r="L80" s="26"/>
      <c r="M80" s="26"/>
      <c r="N80" s="28"/>
      <c r="O80" s="29"/>
      <c r="P80" s="27"/>
      <c r="Q80" s="26"/>
      <c r="R80" s="26"/>
      <c r="S80" s="26"/>
      <c r="T80" s="24" t="str">
        <f t="shared" ca="1" si="3"/>
        <v/>
      </c>
      <c r="U80" s="25" t="str">
        <f t="shared" ca="1" si="4"/>
        <v/>
      </c>
      <c r="V80" s="24" t="str">
        <f t="shared" si="5"/>
        <v/>
      </c>
      <c r="W80" s="25" t="str">
        <f>IF(V80="","",IF(V80&lt;=0,"Renovar",IF(V80&lt;=Listas!$T$3,"Próximo a renovar","Vigente")))</f>
        <v/>
      </c>
      <c r="X80" s="26"/>
    </row>
    <row r="81" spans="1:24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7"/>
      <c r="K81" s="26"/>
      <c r="L81" s="26"/>
      <c r="M81" s="26"/>
      <c r="N81" s="28"/>
      <c r="O81" s="29"/>
      <c r="P81" s="27"/>
      <c r="Q81" s="26"/>
      <c r="R81" s="26"/>
      <c r="S81" s="26"/>
      <c r="T81" s="24" t="str">
        <f t="shared" ca="1" si="3"/>
        <v/>
      </c>
      <c r="U81" s="25" t="str">
        <f t="shared" ca="1" si="4"/>
        <v/>
      </c>
      <c r="V81" s="24" t="str">
        <f t="shared" si="5"/>
        <v/>
      </c>
      <c r="W81" s="25" t="str">
        <f>IF(V81="","",IF(V81&lt;=0,"Renovar",IF(V81&lt;=Listas!$T$3,"Próximo a renovar","Vigente")))</f>
        <v/>
      </c>
      <c r="X81" s="26"/>
    </row>
    <row r="82" spans="1:24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7"/>
      <c r="K82" s="26"/>
      <c r="L82" s="26"/>
      <c r="M82" s="26"/>
      <c r="N82" s="28"/>
      <c r="O82" s="29"/>
      <c r="P82" s="27"/>
      <c r="Q82" s="26"/>
      <c r="R82" s="26"/>
      <c r="S82" s="26"/>
      <c r="T82" s="24" t="str">
        <f t="shared" ca="1" si="3"/>
        <v/>
      </c>
      <c r="U82" s="25" t="str">
        <f t="shared" ca="1" si="4"/>
        <v/>
      </c>
      <c r="V82" s="24" t="str">
        <f t="shared" si="5"/>
        <v/>
      </c>
      <c r="W82" s="25" t="str">
        <f>IF(V82="","",IF(V82&lt;=0,"Renovar",IF(V82&lt;=Listas!$T$3,"Próximo a renovar","Vigente")))</f>
        <v/>
      </c>
      <c r="X82" s="26"/>
    </row>
    <row r="83" spans="1:24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7"/>
      <c r="K83" s="26"/>
      <c r="L83" s="26"/>
      <c r="M83" s="26"/>
      <c r="N83" s="28"/>
      <c r="O83" s="29"/>
      <c r="P83" s="27"/>
      <c r="Q83" s="26"/>
      <c r="R83" s="26"/>
      <c r="S83" s="26"/>
      <c r="T83" s="24" t="str">
        <f t="shared" ca="1" si="3"/>
        <v/>
      </c>
      <c r="U83" s="25" t="str">
        <f t="shared" ca="1" si="4"/>
        <v/>
      </c>
      <c r="V83" s="24" t="str">
        <f t="shared" si="5"/>
        <v/>
      </c>
      <c r="W83" s="25" t="str">
        <f>IF(V83="","",IF(V83&lt;=0,"Renovar",IF(V83&lt;=Listas!$T$3,"Próximo a renovar","Vigente")))</f>
        <v/>
      </c>
      <c r="X83" s="26"/>
    </row>
    <row r="84" spans="1:24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7"/>
      <c r="K84" s="26"/>
      <c r="L84" s="26"/>
      <c r="M84" s="26"/>
      <c r="N84" s="28"/>
      <c r="O84" s="29"/>
      <c r="P84" s="27"/>
      <c r="Q84" s="26"/>
      <c r="R84" s="26"/>
      <c r="S84" s="26"/>
      <c r="T84" s="24" t="str">
        <f t="shared" ca="1" si="3"/>
        <v/>
      </c>
      <c r="U84" s="25" t="str">
        <f t="shared" ca="1" si="4"/>
        <v/>
      </c>
      <c r="V84" s="24" t="str">
        <f t="shared" si="5"/>
        <v/>
      </c>
      <c r="W84" s="25" t="str">
        <f>IF(V84="","",IF(V84&lt;=0,"Renovar",IF(V84&lt;=Listas!$T$3,"Próximo a renovar","Vigente")))</f>
        <v/>
      </c>
      <c r="X84" s="26"/>
    </row>
    <row r="85" spans="1:24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7"/>
      <c r="K85" s="26"/>
      <c r="L85" s="26"/>
      <c r="M85" s="26"/>
      <c r="N85" s="28"/>
      <c r="O85" s="29"/>
      <c r="P85" s="27"/>
      <c r="Q85" s="26"/>
      <c r="R85" s="26"/>
      <c r="S85" s="26"/>
      <c r="T85" s="24" t="str">
        <f t="shared" ca="1" si="3"/>
        <v/>
      </c>
      <c r="U85" s="25" t="str">
        <f t="shared" ca="1" si="4"/>
        <v/>
      </c>
      <c r="V85" s="24" t="str">
        <f t="shared" si="5"/>
        <v/>
      </c>
      <c r="W85" s="25" t="str">
        <f>IF(V85="","",IF(V85&lt;=0,"Renovar",IF(V85&lt;=Listas!$T$3,"Próximo a renovar","Vigente")))</f>
        <v/>
      </c>
      <c r="X85" s="26"/>
    </row>
    <row r="86" spans="1:24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7"/>
      <c r="K86" s="26"/>
      <c r="L86" s="26"/>
      <c r="M86" s="26"/>
      <c r="N86" s="28"/>
      <c r="O86" s="29"/>
      <c r="P86" s="27"/>
      <c r="Q86" s="26"/>
      <c r="R86" s="26"/>
      <c r="S86" s="26"/>
      <c r="T86" s="24" t="str">
        <f t="shared" ca="1" si="3"/>
        <v/>
      </c>
      <c r="U86" s="25" t="str">
        <f t="shared" ca="1" si="4"/>
        <v/>
      </c>
      <c r="V86" s="24" t="str">
        <f t="shared" si="5"/>
        <v/>
      </c>
      <c r="W86" s="25" t="str">
        <f>IF(V86="","",IF(V86&lt;=0,"Renovar",IF(V86&lt;=Listas!$T$3,"Próximo a renovar","Vigente")))</f>
        <v/>
      </c>
      <c r="X86" s="26"/>
    </row>
    <row r="87" spans="1:24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7"/>
      <c r="K87" s="26"/>
      <c r="L87" s="26"/>
      <c r="M87" s="26"/>
      <c r="N87" s="28"/>
      <c r="O87" s="29"/>
      <c r="P87" s="27"/>
      <c r="Q87" s="26"/>
      <c r="R87" s="26"/>
      <c r="S87" s="26"/>
      <c r="T87" s="24" t="str">
        <f t="shared" ca="1" si="3"/>
        <v/>
      </c>
      <c r="U87" s="25" t="str">
        <f t="shared" ca="1" si="4"/>
        <v/>
      </c>
      <c r="V87" s="24" t="str">
        <f t="shared" si="5"/>
        <v/>
      </c>
      <c r="W87" s="25" t="str">
        <f>IF(V87="","",IF(V87&lt;=0,"Renovar",IF(V87&lt;=Listas!$T$3,"Próximo a renovar","Vigente")))</f>
        <v/>
      </c>
      <c r="X87" s="26"/>
    </row>
    <row r="88" spans="1:24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7"/>
      <c r="K88" s="26"/>
      <c r="L88" s="26"/>
      <c r="M88" s="26"/>
      <c r="N88" s="28"/>
      <c r="O88" s="29"/>
      <c r="P88" s="27"/>
      <c r="Q88" s="26"/>
      <c r="R88" s="26"/>
      <c r="S88" s="26"/>
      <c r="T88" s="24" t="str">
        <f t="shared" ca="1" si="3"/>
        <v/>
      </c>
      <c r="U88" s="25" t="str">
        <f t="shared" ca="1" si="4"/>
        <v/>
      </c>
      <c r="V88" s="24" t="str">
        <f t="shared" si="5"/>
        <v/>
      </c>
      <c r="W88" s="25" t="str">
        <f>IF(V88="","",IF(V88&lt;=0,"Renovar",IF(V88&lt;=Listas!$T$3,"Próximo a renovar","Vigente")))</f>
        <v/>
      </c>
      <c r="X88" s="26"/>
    </row>
    <row r="89" spans="1:24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7"/>
      <c r="K89" s="26"/>
      <c r="L89" s="26"/>
      <c r="M89" s="26"/>
      <c r="N89" s="28"/>
      <c r="O89" s="29"/>
      <c r="P89" s="27"/>
      <c r="Q89" s="26"/>
      <c r="R89" s="26"/>
      <c r="S89" s="26"/>
      <c r="T89" s="24" t="str">
        <f t="shared" ca="1" si="3"/>
        <v/>
      </c>
      <c r="U89" s="25" t="str">
        <f t="shared" ca="1" si="4"/>
        <v/>
      </c>
      <c r="V89" s="24" t="str">
        <f t="shared" si="5"/>
        <v/>
      </c>
      <c r="W89" s="25" t="str">
        <f>IF(V89="","",IF(V89&lt;=0,"Renovar",IF(V89&lt;=Listas!$T$3,"Próximo a renovar","Vigente")))</f>
        <v/>
      </c>
      <c r="X89" s="26"/>
    </row>
    <row r="90" spans="1:24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7"/>
      <c r="K90" s="26"/>
      <c r="L90" s="26"/>
      <c r="M90" s="26"/>
      <c r="N90" s="28"/>
      <c r="O90" s="29"/>
      <c r="P90" s="27"/>
      <c r="Q90" s="26"/>
      <c r="R90" s="26"/>
      <c r="S90" s="26"/>
      <c r="T90" s="24" t="str">
        <f t="shared" ca="1" si="3"/>
        <v/>
      </c>
      <c r="U90" s="25" t="str">
        <f t="shared" ca="1" si="4"/>
        <v/>
      </c>
      <c r="V90" s="24" t="str">
        <f t="shared" si="5"/>
        <v/>
      </c>
      <c r="W90" s="25" t="str">
        <f>IF(V90="","",IF(V90&lt;=0,"Renovar",IF(V90&lt;=Listas!$T$3,"Próximo a renovar","Vigente")))</f>
        <v/>
      </c>
      <c r="X90" s="26"/>
    </row>
    <row r="91" spans="1:24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7"/>
      <c r="K91" s="26"/>
      <c r="L91" s="26"/>
      <c r="M91" s="26"/>
      <c r="N91" s="28"/>
      <c r="O91" s="29"/>
      <c r="P91" s="27"/>
      <c r="Q91" s="26"/>
      <c r="R91" s="26"/>
      <c r="S91" s="26"/>
      <c r="T91" s="24" t="str">
        <f t="shared" ca="1" si="3"/>
        <v/>
      </c>
      <c r="U91" s="25" t="str">
        <f t="shared" ca="1" si="4"/>
        <v/>
      </c>
      <c r="V91" s="24" t="str">
        <f t="shared" si="5"/>
        <v/>
      </c>
      <c r="W91" s="25" t="str">
        <f>IF(V91="","",IF(V91&lt;=0,"Renovar",IF(V91&lt;=Listas!$T$3,"Próximo a renovar","Vigente")))</f>
        <v/>
      </c>
      <c r="X91" s="26"/>
    </row>
    <row r="92" spans="1:24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7"/>
      <c r="K92" s="26"/>
      <c r="L92" s="26"/>
      <c r="M92" s="26"/>
      <c r="N92" s="28"/>
      <c r="O92" s="29"/>
      <c r="P92" s="27"/>
      <c r="Q92" s="26"/>
      <c r="R92" s="26"/>
      <c r="S92" s="26"/>
      <c r="T92" s="24" t="str">
        <f t="shared" ca="1" si="3"/>
        <v/>
      </c>
      <c r="U92" s="25" t="str">
        <f t="shared" ca="1" si="4"/>
        <v/>
      </c>
      <c r="V92" s="24" t="str">
        <f t="shared" si="5"/>
        <v/>
      </c>
      <c r="W92" s="25" t="str">
        <f>IF(V92="","",IF(V92&lt;=0,"Renovar",IF(V92&lt;=Listas!$T$3,"Próximo a renovar","Vigente")))</f>
        <v/>
      </c>
      <c r="X92" s="26"/>
    </row>
    <row r="93" spans="1:24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7"/>
      <c r="K93" s="26"/>
      <c r="L93" s="26"/>
      <c r="M93" s="26"/>
      <c r="N93" s="28"/>
      <c r="O93" s="29"/>
      <c r="P93" s="27"/>
      <c r="Q93" s="26"/>
      <c r="R93" s="26"/>
      <c r="S93" s="26"/>
      <c r="T93" s="24" t="str">
        <f t="shared" ca="1" si="3"/>
        <v/>
      </c>
      <c r="U93" s="25" t="str">
        <f t="shared" ca="1" si="4"/>
        <v/>
      </c>
      <c r="V93" s="24" t="str">
        <f t="shared" si="5"/>
        <v/>
      </c>
      <c r="W93" s="25" t="str">
        <f>IF(V93="","",IF(V93&lt;=0,"Renovar",IF(V93&lt;=Listas!$T$3,"Próximo a renovar","Vigente")))</f>
        <v/>
      </c>
      <c r="X93" s="26"/>
    </row>
    <row r="94" spans="1:24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7"/>
      <c r="K94" s="26"/>
      <c r="L94" s="26"/>
      <c r="M94" s="26"/>
      <c r="N94" s="28"/>
      <c r="O94" s="29"/>
      <c r="P94" s="27"/>
      <c r="Q94" s="26"/>
      <c r="R94" s="26"/>
      <c r="S94" s="26"/>
      <c r="T94" s="24" t="str">
        <f t="shared" ca="1" si="3"/>
        <v/>
      </c>
      <c r="U94" s="25" t="str">
        <f t="shared" ca="1" si="4"/>
        <v/>
      </c>
      <c r="V94" s="24" t="str">
        <f t="shared" si="5"/>
        <v/>
      </c>
      <c r="W94" s="25" t="str">
        <f>IF(V94="","",IF(V94&lt;=0,"Renovar",IF(V94&lt;=Listas!$T$3,"Próximo a renovar","Vigente")))</f>
        <v/>
      </c>
      <c r="X94" s="26"/>
    </row>
    <row r="95" spans="1:24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7"/>
      <c r="K95" s="26"/>
      <c r="L95" s="26"/>
      <c r="M95" s="26"/>
      <c r="N95" s="28"/>
      <c r="O95" s="29"/>
      <c r="P95" s="27"/>
      <c r="Q95" s="26"/>
      <c r="R95" s="26"/>
      <c r="S95" s="26"/>
      <c r="T95" s="24" t="str">
        <f t="shared" ca="1" si="3"/>
        <v/>
      </c>
      <c r="U95" s="25" t="str">
        <f t="shared" ca="1" si="4"/>
        <v/>
      </c>
      <c r="V95" s="24" t="str">
        <f t="shared" si="5"/>
        <v/>
      </c>
      <c r="W95" s="25" t="str">
        <f>IF(V95="","",IF(V95&lt;=0,"Renovar",IF(V95&lt;=Listas!$T$3,"Próximo a renovar","Vigente")))</f>
        <v/>
      </c>
      <c r="X95" s="26"/>
    </row>
    <row r="96" spans="1:24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7"/>
      <c r="K96" s="26"/>
      <c r="L96" s="26"/>
      <c r="M96" s="26"/>
      <c r="N96" s="28"/>
      <c r="O96" s="29"/>
      <c r="P96" s="27"/>
      <c r="Q96" s="26"/>
      <c r="R96" s="26"/>
      <c r="S96" s="26"/>
      <c r="T96" s="24" t="str">
        <f t="shared" ca="1" si="3"/>
        <v/>
      </c>
      <c r="U96" s="25" t="str">
        <f t="shared" ca="1" si="4"/>
        <v/>
      </c>
      <c r="V96" s="24" t="str">
        <f t="shared" si="5"/>
        <v/>
      </c>
      <c r="W96" s="25" t="str">
        <f>IF(V96="","",IF(V96&lt;=0,"Renovar",IF(V96&lt;=Listas!$T$3,"Próximo a renovar","Vigente")))</f>
        <v/>
      </c>
      <c r="X96" s="26"/>
    </row>
    <row r="97" spans="1:24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7"/>
      <c r="K97" s="26"/>
      <c r="L97" s="26"/>
      <c r="M97" s="26"/>
      <c r="N97" s="28"/>
      <c r="O97" s="29"/>
      <c r="P97" s="27"/>
      <c r="Q97" s="26"/>
      <c r="R97" s="26"/>
      <c r="S97" s="26"/>
      <c r="T97" s="24" t="str">
        <f t="shared" ca="1" si="3"/>
        <v/>
      </c>
      <c r="U97" s="25" t="str">
        <f t="shared" ca="1" si="4"/>
        <v/>
      </c>
      <c r="V97" s="24" t="str">
        <f t="shared" si="5"/>
        <v/>
      </c>
      <c r="W97" s="25" t="str">
        <f>IF(V97="","",IF(V97&lt;=0,"Renovar",IF(V97&lt;=Listas!$T$3,"Próximo a renovar","Vigente")))</f>
        <v/>
      </c>
      <c r="X97" s="26"/>
    </row>
    <row r="98" spans="1:24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7"/>
      <c r="K98" s="26"/>
      <c r="L98" s="26"/>
      <c r="M98" s="26"/>
      <c r="N98" s="28"/>
      <c r="O98" s="29"/>
      <c r="P98" s="27"/>
      <c r="Q98" s="26"/>
      <c r="R98" s="26"/>
      <c r="S98" s="26"/>
      <c r="T98" s="24" t="str">
        <f t="shared" ca="1" si="3"/>
        <v/>
      </c>
      <c r="U98" s="25" t="str">
        <f t="shared" ca="1" si="4"/>
        <v/>
      </c>
      <c r="V98" s="24" t="str">
        <f t="shared" si="5"/>
        <v/>
      </c>
      <c r="W98" s="25" t="str">
        <f>IF(V98="","",IF(V98&lt;=0,"Renovar",IF(V98&lt;=Listas!$T$3,"Próximo a renovar","Vigente")))</f>
        <v/>
      </c>
      <c r="X98" s="26"/>
    </row>
    <row r="99" spans="1:24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7"/>
      <c r="K99" s="26"/>
      <c r="L99" s="26"/>
      <c r="M99" s="26"/>
      <c r="N99" s="28"/>
      <c r="O99" s="29"/>
      <c r="P99" s="27"/>
      <c r="Q99" s="26"/>
      <c r="R99" s="26"/>
      <c r="S99" s="26"/>
      <c r="T99" s="24" t="str">
        <f t="shared" ca="1" si="3"/>
        <v/>
      </c>
      <c r="U99" s="25" t="str">
        <f t="shared" ca="1" si="4"/>
        <v/>
      </c>
      <c r="V99" s="24" t="str">
        <f t="shared" si="5"/>
        <v/>
      </c>
      <c r="W99" s="25" t="str">
        <f>IF(V99="","",IF(V99&lt;=0,"Renovar",IF(V99&lt;=Listas!$T$3,"Próximo a renovar","Vigente")))</f>
        <v/>
      </c>
      <c r="X99" s="26"/>
    </row>
    <row r="100" spans="1:24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7"/>
      <c r="K100" s="26"/>
      <c r="L100" s="26"/>
      <c r="M100" s="26"/>
      <c r="N100" s="28"/>
      <c r="O100" s="29"/>
      <c r="P100" s="27"/>
      <c r="Q100" s="26"/>
      <c r="R100" s="26"/>
      <c r="S100" s="26"/>
      <c r="T100" s="24" t="str">
        <f t="shared" ca="1" si="3"/>
        <v/>
      </c>
      <c r="U100" s="25" t="str">
        <f t="shared" ca="1" si="4"/>
        <v/>
      </c>
      <c r="V100" s="24" t="str">
        <f t="shared" si="5"/>
        <v/>
      </c>
      <c r="W100" s="25" t="str">
        <f>IF(V100="","",IF(V100&lt;=0,"Renovar",IF(V100&lt;=Listas!$T$3,"Próximo a renovar","Vigente")))</f>
        <v/>
      </c>
      <c r="X100" s="26"/>
    </row>
    <row r="101" spans="1:24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7"/>
      <c r="K101" s="26"/>
      <c r="L101" s="26"/>
      <c r="M101" s="26"/>
      <c r="N101" s="28"/>
      <c r="O101" s="29"/>
      <c r="P101" s="27"/>
      <c r="Q101" s="26"/>
      <c r="R101" s="26"/>
      <c r="S101" s="26"/>
      <c r="T101" s="24" t="str">
        <f t="shared" ca="1" si="3"/>
        <v/>
      </c>
      <c r="U101" s="25" t="str">
        <f t="shared" ca="1" si="4"/>
        <v/>
      </c>
      <c r="V101" s="24" t="str">
        <f t="shared" si="5"/>
        <v/>
      </c>
      <c r="W101" s="25" t="str">
        <f>IF(V101="","",IF(V101&lt;=0,"Renovar",IF(V101&lt;=Listas!$T$3,"Próximo a renovar","Vigente")))</f>
        <v/>
      </c>
      <c r="X101" s="26"/>
    </row>
    <row r="102" spans="1:24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7"/>
      <c r="K102" s="26"/>
      <c r="L102" s="26"/>
      <c r="M102" s="26"/>
      <c r="N102" s="28"/>
      <c r="O102" s="29"/>
      <c r="P102" s="27"/>
      <c r="Q102" s="26"/>
      <c r="R102" s="26"/>
      <c r="S102" s="26"/>
      <c r="T102" s="24" t="str">
        <f t="shared" ca="1" si="3"/>
        <v/>
      </c>
      <c r="U102" s="25" t="str">
        <f t="shared" ca="1" si="4"/>
        <v/>
      </c>
      <c r="V102" s="24" t="str">
        <f t="shared" si="5"/>
        <v/>
      </c>
      <c r="W102" s="25" t="str">
        <f>IF(V102="","",IF(V102&lt;=0,"Renovar",IF(V102&lt;=Listas!$T$3,"Próximo a renovar","Vigente")))</f>
        <v/>
      </c>
      <c r="X102" s="26"/>
    </row>
    <row r="103" spans="1:24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7"/>
      <c r="K103" s="26"/>
      <c r="L103" s="26"/>
      <c r="M103" s="26"/>
      <c r="N103" s="28"/>
      <c r="O103" s="29"/>
      <c r="P103" s="27"/>
      <c r="Q103" s="26"/>
      <c r="R103" s="26"/>
      <c r="S103" s="26"/>
      <c r="T103" s="24" t="str">
        <f t="shared" ca="1" si="3"/>
        <v/>
      </c>
      <c r="U103" s="25" t="str">
        <f t="shared" ca="1" si="4"/>
        <v/>
      </c>
      <c r="V103" s="24" t="str">
        <f t="shared" si="5"/>
        <v/>
      </c>
      <c r="W103" s="25" t="str">
        <f>IF(V103="","",IF(V103&lt;=0,"Renovar",IF(V103&lt;=Listas!$T$3,"Próximo a renovar","Vigente")))</f>
        <v/>
      </c>
      <c r="X103" s="26"/>
    </row>
    <row r="104" spans="1:24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7"/>
      <c r="K104" s="26"/>
      <c r="L104" s="26"/>
      <c r="M104" s="26"/>
      <c r="N104" s="28"/>
      <c r="O104" s="29"/>
      <c r="P104" s="27"/>
      <c r="Q104" s="26"/>
      <c r="R104" s="26"/>
      <c r="S104" s="26"/>
      <c r="T104" s="24" t="str">
        <f t="shared" ca="1" si="3"/>
        <v/>
      </c>
      <c r="U104" s="25" t="str">
        <f t="shared" ca="1" si="4"/>
        <v/>
      </c>
      <c r="V104" s="24" t="str">
        <f t="shared" si="5"/>
        <v/>
      </c>
      <c r="W104" s="25" t="str">
        <f>IF(V104="","",IF(V104&lt;=0,"Renovar",IF(V104&lt;=Listas!$T$3,"Próximo a renovar","Vigente")))</f>
        <v/>
      </c>
      <c r="X104" s="26"/>
    </row>
    <row r="105" spans="1:24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7"/>
      <c r="K105" s="26"/>
      <c r="L105" s="26"/>
      <c r="M105" s="26"/>
      <c r="N105" s="28"/>
      <c r="O105" s="29"/>
      <c r="P105" s="27"/>
      <c r="Q105" s="26"/>
      <c r="R105" s="26"/>
      <c r="S105" s="26"/>
      <c r="T105" s="24" t="str">
        <f t="shared" ca="1" si="3"/>
        <v/>
      </c>
      <c r="U105" s="25" t="str">
        <f t="shared" ca="1" si="4"/>
        <v/>
      </c>
      <c r="V105" s="24" t="str">
        <f t="shared" si="5"/>
        <v/>
      </c>
      <c r="W105" s="25" t="str">
        <f>IF(V105="","",IF(V105&lt;=0,"Renovar",IF(V105&lt;=Listas!$T$3,"Próximo a renovar","Vigente")))</f>
        <v/>
      </c>
      <c r="X105" s="26"/>
    </row>
    <row r="106" spans="1:24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7"/>
      <c r="K106" s="26"/>
      <c r="L106" s="26"/>
      <c r="M106" s="26"/>
      <c r="N106" s="28"/>
      <c r="O106" s="29"/>
      <c r="P106" s="27"/>
      <c r="Q106" s="26"/>
      <c r="R106" s="26"/>
      <c r="S106" s="26"/>
      <c r="T106" s="24" t="str">
        <f t="shared" ca="1" si="3"/>
        <v/>
      </c>
      <c r="U106" s="25" t="str">
        <f t="shared" ca="1" si="4"/>
        <v/>
      </c>
      <c r="V106" s="24" t="str">
        <f t="shared" si="5"/>
        <v/>
      </c>
      <c r="W106" s="25" t="str">
        <f>IF(V106="","",IF(V106&lt;=0,"Renovar",IF(V106&lt;=Listas!$T$3,"Próximo a renovar","Vigente")))</f>
        <v/>
      </c>
      <c r="X106" s="26"/>
    </row>
    <row r="107" spans="1:24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7"/>
      <c r="K107" s="26"/>
      <c r="L107" s="26"/>
      <c r="M107" s="26"/>
      <c r="N107" s="28"/>
      <c r="O107" s="29"/>
      <c r="P107" s="27"/>
      <c r="Q107" s="26"/>
      <c r="R107" s="26"/>
      <c r="S107" s="26"/>
      <c r="T107" s="24" t="str">
        <f t="shared" ca="1" si="3"/>
        <v/>
      </c>
      <c r="U107" s="25" t="str">
        <f t="shared" ca="1" si="4"/>
        <v/>
      </c>
      <c r="V107" s="24" t="str">
        <f t="shared" si="5"/>
        <v/>
      </c>
      <c r="W107" s="25" t="str">
        <f>IF(V107="","",IF(V107&lt;=0,"Renovar",IF(V107&lt;=Listas!$T$3,"Próximo a renovar","Vigente")))</f>
        <v/>
      </c>
      <c r="X107" s="26"/>
    </row>
    <row r="108" spans="1:24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7"/>
      <c r="K108" s="26"/>
      <c r="L108" s="26"/>
      <c r="M108" s="26"/>
      <c r="N108" s="28"/>
      <c r="O108" s="29"/>
      <c r="P108" s="27"/>
      <c r="Q108" s="26"/>
      <c r="R108" s="26"/>
      <c r="S108" s="26"/>
      <c r="T108" s="24" t="str">
        <f t="shared" ca="1" si="3"/>
        <v/>
      </c>
      <c r="U108" s="25" t="str">
        <f t="shared" ca="1" si="4"/>
        <v/>
      </c>
      <c r="V108" s="24" t="str">
        <f t="shared" si="5"/>
        <v/>
      </c>
      <c r="W108" s="25" t="str">
        <f>IF(V108="","",IF(V108&lt;=0,"Renovar",IF(V108&lt;=Listas!$T$3,"Próximo a renovar","Vigente")))</f>
        <v/>
      </c>
      <c r="X108" s="26"/>
    </row>
    <row r="109" spans="1:24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7"/>
      <c r="K109" s="26"/>
      <c r="L109" s="26"/>
      <c r="M109" s="26"/>
      <c r="N109" s="28"/>
      <c r="O109" s="29"/>
      <c r="P109" s="27"/>
      <c r="Q109" s="26"/>
      <c r="R109" s="26"/>
      <c r="S109" s="26"/>
      <c r="T109" s="24" t="str">
        <f t="shared" ca="1" si="3"/>
        <v/>
      </c>
      <c r="U109" s="25" t="str">
        <f t="shared" ca="1" si="4"/>
        <v/>
      </c>
      <c r="V109" s="24" t="str">
        <f t="shared" si="5"/>
        <v/>
      </c>
      <c r="W109" s="25" t="str">
        <f>IF(V109="","",IF(V109&lt;=0,"Renovar",IF(V109&lt;=Listas!$T$3,"Próximo a renovar","Vigente")))</f>
        <v/>
      </c>
      <c r="X109" s="26"/>
    </row>
    <row r="110" spans="1:24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7"/>
      <c r="K110" s="26"/>
      <c r="L110" s="26"/>
      <c r="M110" s="26"/>
      <c r="N110" s="28"/>
      <c r="O110" s="29"/>
      <c r="P110" s="27"/>
      <c r="Q110" s="26"/>
      <c r="R110" s="26"/>
      <c r="S110" s="26"/>
      <c r="T110" s="24" t="str">
        <f t="shared" ca="1" si="3"/>
        <v/>
      </c>
      <c r="U110" s="25" t="str">
        <f t="shared" ca="1" si="4"/>
        <v/>
      </c>
      <c r="V110" s="24" t="str">
        <f t="shared" si="5"/>
        <v/>
      </c>
      <c r="W110" s="25" t="str">
        <f>IF(V110="","",IF(V110&lt;=0,"Renovar",IF(V110&lt;=Listas!$T$3,"Próximo a renovar","Vigente")))</f>
        <v/>
      </c>
      <c r="X110" s="26"/>
    </row>
    <row r="111" spans="1:24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7"/>
      <c r="K111" s="26"/>
      <c r="L111" s="26"/>
      <c r="M111" s="26"/>
      <c r="N111" s="28"/>
      <c r="O111" s="29"/>
      <c r="P111" s="27"/>
      <c r="Q111" s="26"/>
      <c r="R111" s="26"/>
      <c r="S111" s="26"/>
      <c r="T111" s="24" t="str">
        <f t="shared" ca="1" si="3"/>
        <v/>
      </c>
      <c r="U111" s="25" t="str">
        <f t="shared" ca="1" si="4"/>
        <v/>
      </c>
      <c r="V111" s="24" t="str">
        <f t="shared" si="5"/>
        <v/>
      </c>
      <c r="W111" s="25" t="str">
        <f>IF(V111="","",IF(V111&lt;=0,"Renovar",IF(V111&lt;=Listas!$T$3,"Próximo a renovar","Vigente")))</f>
        <v/>
      </c>
      <c r="X111" s="26"/>
    </row>
    <row r="112" spans="1:24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7"/>
      <c r="K112" s="26"/>
      <c r="L112" s="26"/>
      <c r="M112" s="26"/>
      <c r="N112" s="28"/>
      <c r="O112" s="29"/>
      <c r="P112" s="27"/>
      <c r="Q112" s="26"/>
      <c r="R112" s="26"/>
      <c r="S112" s="26"/>
      <c r="T112" s="24" t="str">
        <f t="shared" ca="1" si="3"/>
        <v/>
      </c>
      <c r="U112" s="25" t="str">
        <f t="shared" ca="1" si="4"/>
        <v/>
      </c>
      <c r="V112" s="24" t="str">
        <f t="shared" si="5"/>
        <v/>
      </c>
      <c r="W112" s="25" t="str">
        <f>IF(V112="","",IF(V112&lt;=0,"Renovar",IF(V112&lt;=Listas!$T$3,"Próximo a renovar","Vigente")))</f>
        <v/>
      </c>
      <c r="X112" s="26"/>
    </row>
    <row r="113" spans="1:24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7"/>
      <c r="K113" s="26"/>
      <c r="L113" s="26"/>
      <c r="M113" s="26"/>
      <c r="N113" s="28"/>
      <c r="O113" s="29"/>
      <c r="P113" s="27"/>
      <c r="Q113" s="26"/>
      <c r="R113" s="26"/>
      <c r="S113" s="26"/>
      <c r="T113" s="24" t="str">
        <f t="shared" ca="1" si="3"/>
        <v/>
      </c>
      <c r="U113" s="25" t="str">
        <f t="shared" ca="1" si="4"/>
        <v/>
      </c>
      <c r="V113" s="24" t="str">
        <f t="shared" si="5"/>
        <v/>
      </c>
      <c r="W113" s="25" t="str">
        <f>IF(V113="","",IF(V113&lt;=0,"Renovar",IF(V113&lt;=Listas!$T$3,"Próximo a renovar","Vigente")))</f>
        <v/>
      </c>
      <c r="X113" s="26"/>
    </row>
    <row r="114" spans="1:24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7"/>
      <c r="K114" s="26"/>
      <c r="L114" s="26"/>
      <c r="M114" s="26"/>
      <c r="N114" s="28"/>
      <c r="O114" s="29"/>
      <c r="P114" s="27"/>
      <c r="Q114" s="26"/>
      <c r="R114" s="26"/>
      <c r="S114" s="26"/>
      <c r="T114" s="24" t="str">
        <f t="shared" ca="1" si="3"/>
        <v/>
      </c>
      <c r="U114" s="25" t="str">
        <f t="shared" ca="1" si="4"/>
        <v/>
      </c>
      <c r="V114" s="24" t="str">
        <f t="shared" si="5"/>
        <v/>
      </c>
      <c r="W114" s="25" t="str">
        <f>IF(V114="","",IF(V114&lt;=0,"Renovar",IF(V114&lt;=Listas!$T$3,"Próximo a renovar","Vigente")))</f>
        <v/>
      </c>
      <c r="X114" s="26"/>
    </row>
    <row r="115" spans="1:24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7"/>
      <c r="K115" s="26"/>
      <c r="L115" s="26"/>
      <c r="M115" s="26"/>
      <c r="N115" s="28"/>
      <c r="O115" s="29"/>
      <c r="P115" s="27"/>
      <c r="Q115" s="26"/>
      <c r="R115" s="26"/>
      <c r="S115" s="26"/>
      <c r="T115" s="24" t="str">
        <f t="shared" ca="1" si="3"/>
        <v/>
      </c>
      <c r="U115" s="25" t="str">
        <f t="shared" ca="1" si="4"/>
        <v/>
      </c>
      <c r="V115" s="24" t="str">
        <f t="shared" si="5"/>
        <v/>
      </c>
      <c r="W115" s="25" t="str">
        <f>IF(V115="","",IF(V115&lt;=0,"Renovar",IF(V115&lt;=Listas!$T$3,"Próximo a renovar","Vigente")))</f>
        <v/>
      </c>
      <c r="X115" s="26"/>
    </row>
    <row r="116" spans="1:24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7"/>
      <c r="K116" s="26"/>
      <c r="L116" s="26"/>
      <c r="M116" s="26"/>
      <c r="N116" s="28"/>
      <c r="O116" s="29"/>
      <c r="P116" s="27"/>
      <c r="Q116" s="26"/>
      <c r="R116" s="26"/>
      <c r="S116" s="26"/>
      <c r="T116" s="24" t="str">
        <f t="shared" ca="1" si="3"/>
        <v/>
      </c>
      <c r="U116" s="25" t="str">
        <f t="shared" ca="1" si="4"/>
        <v/>
      </c>
      <c r="V116" s="24" t="str">
        <f t="shared" si="5"/>
        <v/>
      </c>
      <c r="W116" s="25" t="str">
        <f>IF(V116="","",IF(V116&lt;=0,"Renovar",IF(V116&lt;=Listas!$T$3,"Próximo a renovar","Vigente")))</f>
        <v/>
      </c>
      <c r="X116" s="26"/>
    </row>
    <row r="117" spans="1:24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7"/>
      <c r="K117" s="26"/>
      <c r="L117" s="26"/>
      <c r="M117" s="26"/>
      <c r="N117" s="28"/>
      <c r="O117" s="29"/>
      <c r="P117" s="27"/>
      <c r="Q117" s="26"/>
      <c r="R117" s="26"/>
      <c r="S117" s="26"/>
      <c r="T117" s="24" t="str">
        <f t="shared" ca="1" si="3"/>
        <v/>
      </c>
      <c r="U117" s="25" t="str">
        <f t="shared" ca="1" si="4"/>
        <v/>
      </c>
      <c r="V117" s="24" t="str">
        <f t="shared" si="5"/>
        <v/>
      </c>
      <c r="W117" s="25" t="str">
        <f>IF(V117="","",IF(V117&lt;=0,"Renovar",IF(V117&lt;=Listas!$T$3,"Próximo a renovar","Vigente")))</f>
        <v/>
      </c>
      <c r="X117" s="26"/>
    </row>
    <row r="118" spans="1:24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7"/>
      <c r="K118" s="26"/>
      <c r="L118" s="26"/>
      <c r="M118" s="26"/>
      <c r="N118" s="28"/>
      <c r="O118" s="29"/>
      <c r="P118" s="27"/>
      <c r="Q118" s="26"/>
      <c r="R118" s="26"/>
      <c r="S118" s="26"/>
      <c r="T118" s="24" t="str">
        <f t="shared" ca="1" si="3"/>
        <v/>
      </c>
      <c r="U118" s="25" t="str">
        <f t="shared" ca="1" si="4"/>
        <v/>
      </c>
      <c r="V118" s="24" t="str">
        <f t="shared" si="5"/>
        <v/>
      </c>
      <c r="W118" s="25" t="str">
        <f>IF(V118="","",IF(V118&lt;=0,"Renovar",IF(V118&lt;=Listas!$T$3,"Próximo a renovar","Vigente")))</f>
        <v/>
      </c>
      <c r="X118" s="26"/>
    </row>
    <row r="119" spans="1:24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7"/>
      <c r="K119" s="26"/>
      <c r="L119" s="26"/>
      <c r="M119" s="26"/>
      <c r="N119" s="28"/>
      <c r="O119" s="29"/>
      <c r="P119" s="27"/>
      <c r="Q119" s="26"/>
      <c r="R119" s="26"/>
      <c r="S119" s="26"/>
      <c r="T119" s="24" t="str">
        <f t="shared" ca="1" si="3"/>
        <v/>
      </c>
      <c r="U119" s="25" t="str">
        <f t="shared" ca="1" si="4"/>
        <v/>
      </c>
      <c r="V119" s="24" t="str">
        <f t="shared" si="5"/>
        <v/>
      </c>
      <c r="W119" s="25" t="str">
        <f>IF(V119="","",IF(V119&lt;=0,"Renovar",IF(V119&lt;=Listas!$T$3,"Próximo a renovar","Vigente")))</f>
        <v/>
      </c>
      <c r="X119" s="26"/>
    </row>
    <row r="120" spans="1:24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7"/>
      <c r="K120" s="26"/>
      <c r="L120" s="26"/>
      <c r="M120" s="26"/>
      <c r="N120" s="28"/>
      <c r="O120" s="29"/>
      <c r="P120" s="27"/>
      <c r="Q120" s="26"/>
      <c r="R120" s="26"/>
      <c r="S120" s="26"/>
      <c r="T120" s="24" t="str">
        <f t="shared" ca="1" si="3"/>
        <v/>
      </c>
      <c r="U120" s="25" t="str">
        <f t="shared" ca="1" si="4"/>
        <v/>
      </c>
      <c r="V120" s="24" t="str">
        <f t="shared" si="5"/>
        <v/>
      </c>
      <c r="W120" s="25" t="str">
        <f>IF(V120="","",IF(V120&lt;=0,"Renovar",IF(V120&lt;=Listas!$T$3,"Próximo a renovar","Vigente")))</f>
        <v/>
      </c>
      <c r="X120" s="26"/>
    </row>
    <row r="121" spans="1:24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7"/>
      <c r="K121" s="26"/>
      <c r="L121" s="26"/>
      <c r="M121" s="26"/>
      <c r="N121" s="28"/>
      <c r="O121" s="29"/>
      <c r="P121" s="27"/>
      <c r="Q121" s="26"/>
      <c r="R121" s="26"/>
      <c r="S121" s="26"/>
      <c r="T121" s="24" t="str">
        <f t="shared" ca="1" si="3"/>
        <v/>
      </c>
      <c r="U121" s="25" t="str">
        <f t="shared" ca="1" si="4"/>
        <v/>
      </c>
      <c r="V121" s="24" t="str">
        <f t="shared" si="5"/>
        <v/>
      </c>
      <c r="W121" s="25" t="str">
        <f>IF(V121="","",IF(V121&lt;=0,"Renovar",IF(V121&lt;=Listas!$T$3,"Próximo a renovar","Vigente")))</f>
        <v/>
      </c>
      <c r="X121" s="26"/>
    </row>
    <row r="122" spans="1:24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7"/>
      <c r="K122" s="26"/>
      <c r="L122" s="26"/>
      <c r="M122" s="26"/>
      <c r="N122" s="28"/>
      <c r="O122" s="29"/>
      <c r="P122" s="27"/>
      <c r="Q122" s="26"/>
      <c r="R122" s="26"/>
      <c r="S122" s="26"/>
      <c r="T122" s="24" t="str">
        <f t="shared" ca="1" si="3"/>
        <v/>
      </c>
      <c r="U122" s="25" t="str">
        <f t="shared" ca="1" si="4"/>
        <v/>
      </c>
      <c r="V122" s="24" t="str">
        <f t="shared" si="5"/>
        <v/>
      </c>
      <c r="W122" s="25" t="str">
        <f>IF(V122="","",IF(V122&lt;=0,"Renovar",IF(V122&lt;=Listas!$T$3,"Próximo a renovar","Vigente")))</f>
        <v/>
      </c>
      <c r="X122" s="26"/>
    </row>
    <row r="123" spans="1:24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7"/>
      <c r="K123" s="26"/>
      <c r="L123" s="26"/>
      <c r="M123" s="26"/>
      <c r="N123" s="28"/>
      <c r="O123" s="29"/>
      <c r="P123" s="27"/>
      <c r="Q123" s="26"/>
      <c r="R123" s="26"/>
      <c r="S123" s="26"/>
      <c r="T123" s="24" t="str">
        <f t="shared" ca="1" si="3"/>
        <v/>
      </c>
      <c r="U123" s="25" t="str">
        <f t="shared" ca="1" si="4"/>
        <v/>
      </c>
      <c r="V123" s="24" t="str">
        <f t="shared" si="5"/>
        <v/>
      </c>
      <c r="W123" s="25" t="str">
        <f>IF(V123="","",IF(V123&lt;=0,"Renovar",IF(V123&lt;=Listas!$T$3,"Próximo a renovar","Vigente")))</f>
        <v/>
      </c>
      <c r="X123" s="26"/>
    </row>
    <row r="124" spans="1:24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7"/>
      <c r="K124" s="26"/>
      <c r="L124" s="26"/>
      <c r="M124" s="26"/>
      <c r="N124" s="28"/>
      <c r="O124" s="29"/>
      <c r="P124" s="27"/>
      <c r="Q124" s="26"/>
      <c r="R124" s="26"/>
      <c r="S124" s="26"/>
      <c r="T124" s="24" t="str">
        <f t="shared" ca="1" si="3"/>
        <v/>
      </c>
      <c r="U124" s="25" t="str">
        <f t="shared" ca="1" si="4"/>
        <v/>
      </c>
      <c r="V124" s="24" t="str">
        <f t="shared" si="5"/>
        <v/>
      </c>
      <c r="W124" s="25" t="str">
        <f>IF(V124="","",IF(V124&lt;=0,"Renovar",IF(V124&lt;=Listas!$T$3,"Próximo a renovar","Vigente")))</f>
        <v/>
      </c>
      <c r="X124" s="26"/>
    </row>
    <row r="125" spans="1:24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7"/>
      <c r="K125" s="26"/>
      <c r="L125" s="26"/>
      <c r="M125" s="26"/>
      <c r="N125" s="28"/>
      <c r="O125" s="29"/>
      <c r="P125" s="27"/>
      <c r="Q125" s="26"/>
      <c r="R125" s="26"/>
      <c r="S125" s="26"/>
      <c r="T125" s="24" t="str">
        <f t="shared" ca="1" si="3"/>
        <v/>
      </c>
      <c r="U125" s="25" t="str">
        <f t="shared" ca="1" si="4"/>
        <v/>
      </c>
      <c r="V125" s="24" t="str">
        <f t="shared" si="5"/>
        <v/>
      </c>
      <c r="W125" s="25" t="str">
        <f>IF(V125="","",IF(V125&lt;=0,"Renovar",IF(V125&lt;=Listas!$T$3,"Próximo a renovar","Vigente")))</f>
        <v/>
      </c>
      <c r="X125" s="26"/>
    </row>
    <row r="126" spans="1:24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7"/>
      <c r="K126" s="26"/>
      <c r="L126" s="26"/>
      <c r="M126" s="26"/>
      <c r="N126" s="28"/>
      <c r="O126" s="29"/>
      <c r="P126" s="27"/>
      <c r="Q126" s="26"/>
      <c r="R126" s="26"/>
      <c r="S126" s="26"/>
      <c r="T126" s="24" t="str">
        <f t="shared" ca="1" si="3"/>
        <v/>
      </c>
      <c r="U126" s="25" t="str">
        <f t="shared" ca="1" si="4"/>
        <v/>
      </c>
      <c r="V126" s="24" t="str">
        <f t="shared" si="5"/>
        <v/>
      </c>
      <c r="W126" s="25" t="str">
        <f>IF(V126="","",IF(V126&lt;=0,"Renovar",IF(V126&lt;=Listas!$T$3,"Próximo a renovar","Vigente")))</f>
        <v/>
      </c>
      <c r="X126" s="26"/>
    </row>
    <row r="127" spans="1:24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7"/>
      <c r="K127" s="26"/>
      <c r="L127" s="26"/>
      <c r="M127" s="26"/>
      <c r="N127" s="28"/>
      <c r="O127" s="29"/>
      <c r="P127" s="27"/>
      <c r="Q127" s="26"/>
      <c r="R127" s="26"/>
      <c r="S127" s="26"/>
      <c r="T127" s="24" t="str">
        <f t="shared" ca="1" si="3"/>
        <v/>
      </c>
      <c r="U127" s="25" t="str">
        <f t="shared" ca="1" si="4"/>
        <v/>
      </c>
      <c r="V127" s="24" t="str">
        <f t="shared" si="5"/>
        <v/>
      </c>
      <c r="W127" s="25" t="str">
        <f>IF(V127="","",IF(V127&lt;=0,"Renovar",IF(V127&lt;=Listas!$T$3,"Próximo a renovar","Vigente")))</f>
        <v/>
      </c>
      <c r="X127" s="26"/>
    </row>
    <row r="128" spans="1:24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7"/>
      <c r="K128" s="26"/>
      <c r="L128" s="26"/>
      <c r="M128" s="26"/>
      <c r="N128" s="28"/>
      <c r="O128" s="29"/>
      <c r="P128" s="27"/>
      <c r="Q128" s="26"/>
      <c r="R128" s="26"/>
      <c r="S128" s="26"/>
      <c r="T128" s="24" t="str">
        <f t="shared" ca="1" si="3"/>
        <v/>
      </c>
      <c r="U128" s="25" t="str">
        <f t="shared" ca="1" si="4"/>
        <v/>
      </c>
      <c r="V128" s="24" t="str">
        <f t="shared" si="5"/>
        <v/>
      </c>
      <c r="W128" s="25" t="str">
        <f>IF(V128="","",IF(V128&lt;=0,"Renovar",IF(V128&lt;=Listas!$T$3,"Próximo a renovar","Vigente")))</f>
        <v/>
      </c>
      <c r="X128" s="26"/>
    </row>
    <row r="129" spans="1:24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7"/>
      <c r="K129" s="26"/>
      <c r="L129" s="26"/>
      <c r="M129" s="26"/>
      <c r="N129" s="28"/>
      <c r="O129" s="29"/>
      <c r="P129" s="27"/>
      <c r="Q129" s="26"/>
      <c r="R129" s="26"/>
      <c r="S129" s="26"/>
      <c r="T129" s="24" t="str">
        <f t="shared" ca="1" si="3"/>
        <v/>
      </c>
      <c r="U129" s="25" t="str">
        <f t="shared" ca="1" si="4"/>
        <v/>
      </c>
      <c r="V129" s="24" t="str">
        <f t="shared" si="5"/>
        <v/>
      </c>
      <c r="W129" s="25" t="str">
        <f>IF(V129="","",IF(V129&lt;=0,"Renovar",IF(V129&lt;=Listas!$T$3,"Próximo a renovar","Vigente")))</f>
        <v/>
      </c>
      <c r="X129" s="26"/>
    </row>
    <row r="130" spans="1:24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7"/>
      <c r="K130" s="26"/>
      <c r="L130" s="26"/>
      <c r="M130" s="26"/>
      <c r="N130" s="28"/>
      <c r="O130" s="29"/>
      <c r="P130" s="27"/>
      <c r="Q130" s="26"/>
      <c r="R130" s="26"/>
      <c r="S130" s="26"/>
      <c r="T130" s="24" t="str">
        <f t="shared" ca="1" si="3"/>
        <v/>
      </c>
      <c r="U130" s="25" t="str">
        <f t="shared" ca="1" si="4"/>
        <v/>
      </c>
      <c r="V130" s="24" t="str">
        <f t="shared" si="5"/>
        <v/>
      </c>
      <c r="W130" s="25" t="str">
        <f>IF(V130="","",IF(V130&lt;=0,"Renovar",IF(V130&lt;=Listas!$T$3,"Próximo a renovar","Vigente")))</f>
        <v/>
      </c>
      <c r="X130" s="26"/>
    </row>
    <row r="131" spans="1:24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7"/>
      <c r="K131" s="26"/>
      <c r="L131" s="26"/>
      <c r="M131" s="26"/>
      <c r="N131" s="28"/>
      <c r="O131" s="29"/>
      <c r="P131" s="27"/>
      <c r="Q131" s="26"/>
      <c r="R131" s="26"/>
      <c r="S131" s="26"/>
      <c r="T131" s="24" t="str">
        <f t="shared" ca="1" si="3"/>
        <v/>
      </c>
      <c r="U131" s="25" t="str">
        <f t="shared" ca="1" si="4"/>
        <v/>
      </c>
      <c r="V131" s="24" t="str">
        <f t="shared" si="5"/>
        <v/>
      </c>
      <c r="W131" s="25" t="str">
        <f>IF(V131="","",IF(V131&lt;=0,"Renovar",IF(V131&lt;=Listas!$T$3,"Próximo a renovar","Vigente")))</f>
        <v/>
      </c>
      <c r="X131" s="26"/>
    </row>
    <row r="132" spans="1:24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7"/>
      <c r="K132" s="26"/>
      <c r="L132" s="26"/>
      <c r="M132" s="26"/>
      <c r="N132" s="28"/>
      <c r="O132" s="29"/>
      <c r="P132" s="27"/>
      <c r="Q132" s="26"/>
      <c r="R132" s="26"/>
      <c r="S132" s="26"/>
      <c r="T132" s="24" t="str">
        <f t="shared" ca="1" si="3"/>
        <v/>
      </c>
      <c r="U132" s="25" t="str">
        <f t="shared" ca="1" si="4"/>
        <v/>
      </c>
      <c r="V132" s="24" t="str">
        <f t="shared" si="5"/>
        <v/>
      </c>
      <c r="W132" s="25" t="str">
        <f>IF(V132="","",IF(V132&lt;=0,"Renovar",IF(V132&lt;=Listas!$T$3,"Próximo a renovar","Vigente")))</f>
        <v/>
      </c>
      <c r="X132" s="26"/>
    </row>
    <row r="133" spans="1:24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7"/>
      <c r="K133" s="26"/>
      <c r="L133" s="26"/>
      <c r="M133" s="26"/>
      <c r="N133" s="28"/>
      <c r="O133" s="29"/>
      <c r="P133" s="27"/>
      <c r="Q133" s="26"/>
      <c r="R133" s="26"/>
      <c r="S133" s="26"/>
      <c r="T133" s="24" t="str">
        <f t="shared" ref="T133:T196" ca="1" si="6">IF(J133="","",ROUND((TODAY()-J133)/365.25,1))</f>
        <v/>
      </c>
      <c r="U133" s="25" t="str">
        <f t="shared" ref="U133:U196" ca="1" si="7">IF(P133="","",IF(P133&gt;=TODAY(),"Vigente","Vencida"))</f>
        <v/>
      </c>
      <c r="V133" s="24" t="str">
        <f t="shared" ref="V133:V196" si="8">IF(OR(J133="",O133=""),"",ROUND(O133-T133,1))</f>
        <v/>
      </c>
      <c r="W133" s="25" t="str">
        <f>IF(V133="","",IF(V133&lt;=0,"Renovar",IF(V133&lt;=Listas!$T$3,"Próximo a renovar","Vigente")))</f>
        <v/>
      </c>
      <c r="X133" s="26"/>
    </row>
    <row r="134" spans="1:24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7"/>
      <c r="K134" s="26"/>
      <c r="L134" s="26"/>
      <c r="M134" s="26"/>
      <c r="N134" s="28"/>
      <c r="O134" s="29"/>
      <c r="P134" s="27"/>
      <c r="Q134" s="26"/>
      <c r="R134" s="26"/>
      <c r="S134" s="26"/>
      <c r="T134" s="24" t="str">
        <f t="shared" ca="1" si="6"/>
        <v/>
      </c>
      <c r="U134" s="25" t="str">
        <f t="shared" ca="1" si="7"/>
        <v/>
      </c>
      <c r="V134" s="24" t="str">
        <f t="shared" si="8"/>
        <v/>
      </c>
      <c r="W134" s="25" t="str">
        <f>IF(V134="","",IF(V134&lt;=0,"Renovar",IF(V134&lt;=Listas!$T$3,"Próximo a renovar","Vigente")))</f>
        <v/>
      </c>
      <c r="X134" s="26"/>
    </row>
    <row r="135" spans="1:24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7"/>
      <c r="K135" s="26"/>
      <c r="L135" s="26"/>
      <c r="M135" s="26"/>
      <c r="N135" s="28"/>
      <c r="O135" s="29"/>
      <c r="P135" s="27"/>
      <c r="Q135" s="26"/>
      <c r="R135" s="26"/>
      <c r="S135" s="26"/>
      <c r="T135" s="24" t="str">
        <f t="shared" ca="1" si="6"/>
        <v/>
      </c>
      <c r="U135" s="25" t="str">
        <f t="shared" ca="1" si="7"/>
        <v/>
      </c>
      <c r="V135" s="24" t="str">
        <f t="shared" si="8"/>
        <v/>
      </c>
      <c r="W135" s="25" t="str">
        <f>IF(V135="","",IF(V135&lt;=0,"Renovar",IF(V135&lt;=Listas!$T$3,"Próximo a renovar","Vigente")))</f>
        <v/>
      </c>
      <c r="X135" s="26"/>
    </row>
    <row r="136" spans="1:24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7"/>
      <c r="K136" s="26"/>
      <c r="L136" s="26"/>
      <c r="M136" s="26"/>
      <c r="N136" s="28"/>
      <c r="O136" s="29"/>
      <c r="P136" s="27"/>
      <c r="Q136" s="26"/>
      <c r="R136" s="26"/>
      <c r="S136" s="26"/>
      <c r="T136" s="24" t="str">
        <f t="shared" ca="1" si="6"/>
        <v/>
      </c>
      <c r="U136" s="25" t="str">
        <f t="shared" ca="1" si="7"/>
        <v/>
      </c>
      <c r="V136" s="24" t="str">
        <f t="shared" si="8"/>
        <v/>
      </c>
      <c r="W136" s="25" t="str">
        <f>IF(V136="","",IF(V136&lt;=0,"Renovar",IF(V136&lt;=Listas!$T$3,"Próximo a renovar","Vigente")))</f>
        <v/>
      </c>
      <c r="X136" s="26"/>
    </row>
    <row r="137" spans="1:24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7"/>
      <c r="K137" s="26"/>
      <c r="L137" s="26"/>
      <c r="M137" s="26"/>
      <c r="N137" s="28"/>
      <c r="O137" s="29"/>
      <c r="P137" s="27"/>
      <c r="Q137" s="26"/>
      <c r="R137" s="26"/>
      <c r="S137" s="26"/>
      <c r="T137" s="24" t="str">
        <f t="shared" ca="1" si="6"/>
        <v/>
      </c>
      <c r="U137" s="25" t="str">
        <f t="shared" ca="1" si="7"/>
        <v/>
      </c>
      <c r="V137" s="24" t="str">
        <f t="shared" si="8"/>
        <v/>
      </c>
      <c r="W137" s="25" t="str">
        <f>IF(V137="","",IF(V137&lt;=0,"Renovar",IF(V137&lt;=Listas!$T$3,"Próximo a renovar","Vigente")))</f>
        <v/>
      </c>
      <c r="X137" s="26"/>
    </row>
    <row r="138" spans="1:24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7"/>
      <c r="K138" s="26"/>
      <c r="L138" s="26"/>
      <c r="M138" s="26"/>
      <c r="N138" s="28"/>
      <c r="O138" s="29"/>
      <c r="P138" s="27"/>
      <c r="Q138" s="26"/>
      <c r="R138" s="26"/>
      <c r="S138" s="26"/>
      <c r="T138" s="24" t="str">
        <f t="shared" ca="1" si="6"/>
        <v/>
      </c>
      <c r="U138" s="25" t="str">
        <f t="shared" ca="1" si="7"/>
        <v/>
      </c>
      <c r="V138" s="24" t="str">
        <f t="shared" si="8"/>
        <v/>
      </c>
      <c r="W138" s="25" t="str">
        <f>IF(V138="","",IF(V138&lt;=0,"Renovar",IF(V138&lt;=Listas!$T$3,"Próximo a renovar","Vigente")))</f>
        <v/>
      </c>
      <c r="X138" s="26"/>
    </row>
    <row r="139" spans="1:24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7"/>
      <c r="K139" s="26"/>
      <c r="L139" s="26"/>
      <c r="M139" s="26"/>
      <c r="N139" s="28"/>
      <c r="O139" s="29"/>
      <c r="P139" s="27"/>
      <c r="Q139" s="26"/>
      <c r="R139" s="26"/>
      <c r="S139" s="26"/>
      <c r="T139" s="24" t="str">
        <f t="shared" ca="1" si="6"/>
        <v/>
      </c>
      <c r="U139" s="25" t="str">
        <f t="shared" ca="1" si="7"/>
        <v/>
      </c>
      <c r="V139" s="24" t="str">
        <f t="shared" si="8"/>
        <v/>
      </c>
      <c r="W139" s="25" t="str">
        <f>IF(V139="","",IF(V139&lt;=0,"Renovar",IF(V139&lt;=Listas!$T$3,"Próximo a renovar","Vigente")))</f>
        <v/>
      </c>
      <c r="X139" s="26"/>
    </row>
    <row r="140" spans="1:24" x14ac:dyDescent="0.25">
      <c r="A140" s="26"/>
      <c r="B140" s="26"/>
      <c r="C140" s="26"/>
      <c r="D140" s="26"/>
      <c r="E140" s="26"/>
      <c r="F140" s="26"/>
      <c r="G140" s="26"/>
      <c r="H140" s="26"/>
      <c r="I140" s="26"/>
      <c r="J140" s="27"/>
      <c r="K140" s="26"/>
      <c r="L140" s="26"/>
      <c r="M140" s="26"/>
      <c r="N140" s="28"/>
      <c r="O140" s="29"/>
      <c r="P140" s="27"/>
      <c r="Q140" s="26"/>
      <c r="R140" s="26"/>
      <c r="S140" s="26"/>
      <c r="T140" s="24" t="str">
        <f t="shared" ca="1" si="6"/>
        <v/>
      </c>
      <c r="U140" s="25" t="str">
        <f t="shared" ca="1" si="7"/>
        <v/>
      </c>
      <c r="V140" s="24" t="str">
        <f t="shared" si="8"/>
        <v/>
      </c>
      <c r="W140" s="25" t="str">
        <f>IF(V140="","",IF(V140&lt;=0,"Renovar",IF(V140&lt;=Listas!$T$3,"Próximo a renovar","Vigente")))</f>
        <v/>
      </c>
      <c r="X140" s="26"/>
    </row>
    <row r="141" spans="1:24" x14ac:dyDescent="0.25">
      <c r="A141" s="26"/>
      <c r="B141" s="26"/>
      <c r="C141" s="26"/>
      <c r="D141" s="26"/>
      <c r="E141" s="26"/>
      <c r="F141" s="26"/>
      <c r="G141" s="26"/>
      <c r="H141" s="26"/>
      <c r="I141" s="26"/>
      <c r="J141" s="27"/>
      <c r="K141" s="26"/>
      <c r="L141" s="26"/>
      <c r="M141" s="26"/>
      <c r="N141" s="28"/>
      <c r="O141" s="29"/>
      <c r="P141" s="27"/>
      <c r="Q141" s="26"/>
      <c r="R141" s="26"/>
      <c r="S141" s="26"/>
      <c r="T141" s="24" t="str">
        <f t="shared" ca="1" si="6"/>
        <v/>
      </c>
      <c r="U141" s="25" t="str">
        <f t="shared" ca="1" si="7"/>
        <v/>
      </c>
      <c r="V141" s="24" t="str">
        <f t="shared" si="8"/>
        <v/>
      </c>
      <c r="W141" s="25" t="str">
        <f>IF(V141="","",IF(V141&lt;=0,"Renovar",IF(V141&lt;=Listas!$T$3,"Próximo a renovar","Vigente")))</f>
        <v/>
      </c>
      <c r="X141" s="26"/>
    </row>
    <row r="142" spans="1:24" x14ac:dyDescent="0.25">
      <c r="A142" s="26"/>
      <c r="B142" s="26"/>
      <c r="C142" s="26"/>
      <c r="D142" s="26"/>
      <c r="E142" s="26"/>
      <c r="F142" s="26"/>
      <c r="G142" s="26"/>
      <c r="H142" s="26"/>
      <c r="I142" s="26"/>
      <c r="J142" s="27"/>
      <c r="K142" s="26"/>
      <c r="L142" s="26"/>
      <c r="M142" s="26"/>
      <c r="N142" s="28"/>
      <c r="O142" s="29"/>
      <c r="P142" s="27"/>
      <c r="Q142" s="26"/>
      <c r="R142" s="26"/>
      <c r="S142" s="26"/>
      <c r="T142" s="24" t="str">
        <f t="shared" ca="1" si="6"/>
        <v/>
      </c>
      <c r="U142" s="25" t="str">
        <f t="shared" ca="1" si="7"/>
        <v/>
      </c>
      <c r="V142" s="24" t="str">
        <f t="shared" si="8"/>
        <v/>
      </c>
      <c r="W142" s="25" t="str">
        <f>IF(V142="","",IF(V142&lt;=0,"Renovar",IF(V142&lt;=Listas!$T$3,"Próximo a renovar","Vigente")))</f>
        <v/>
      </c>
      <c r="X142" s="26"/>
    </row>
    <row r="143" spans="1:24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7"/>
      <c r="K143" s="26"/>
      <c r="L143" s="26"/>
      <c r="M143" s="26"/>
      <c r="N143" s="28"/>
      <c r="O143" s="29"/>
      <c r="P143" s="27"/>
      <c r="Q143" s="26"/>
      <c r="R143" s="26"/>
      <c r="S143" s="26"/>
      <c r="T143" s="24" t="str">
        <f t="shared" ca="1" si="6"/>
        <v/>
      </c>
      <c r="U143" s="25" t="str">
        <f t="shared" ca="1" si="7"/>
        <v/>
      </c>
      <c r="V143" s="24" t="str">
        <f t="shared" si="8"/>
        <v/>
      </c>
      <c r="W143" s="25" t="str">
        <f>IF(V143="","",IF(V143&lt;=0,"Renovar",IF(V143&lt;=Listas!$T$3,"Próximo a renovar","Vigente")))</f>
        <v/>
      </c>
      <c r="X143" s="26"/>
    </row>
    <row r="144" spans="1:24" x14ac:dyDescent="0.25">
      <c r="A144" s="26"/>
      <c r="B144" s="26"/>
      <c r="C144" s="26"/>
      <c r="D144" s="26"/>
      <c r="E144" s="26"/>
      <c r="F144" s="26"/>
      <c r="G144" s="26"/>
      <c r="H144" s="26"/>
      <c r="I144" s="26"/>
      <c r="J144" s="27"/>
      <c r="K144" s="26"/>
      <c r="L144" s="26"/>
      <c r="M144" s="26"/>
      <c r="N144" s="28"/>
      <c r="O144" s="29"/>
      <c r="P144" s="27"/>
      <c r="Q144" s="26"/>
      <c r="R144" s="26"/>
      <c r="S144" s="26"/>
      <c r="T144" s="24" t="str">
        <f t="shared" ca="1" si="6"/>
        <v/>
      </c>
      <c r="U144" s="25" t="str">
        <f t="shared" ca="1" si="7"/>
        <v/>
      </c>
      <c r="V144" s="24" t="str">
        <f t="shared" si="8"/>
        <v/>
      </c>
      <c r="W144" s="25" t="str">
        <f>IF(V144="","",IF(V144&lt;=0,"Renovar",IF(V144&lt;=Listas!$T$3,"Próximo a renovar","Vigente")))</f>
        <v/>
      </c>
      <c r="X144" s="26"/>
    </row>
    <row r="145" spans="1:24" x14ac:dyDescent="0.25">
      <c r="A145" s="26"/>
      <c r="B145" s="26"/>
      <c r="C145" s="26"/>
      <c r="D145" s="26"/>
      <c r="E145" s="26"/>
      <c r="F145" s="26"/>
      <c r="G145" s="26"/>
      <c r="H145" s="26"/>
      <c r="I145" s="26"/>
      <c r="J145" s="27"/>
      <c r="K145" s="26"/>
      <c r="L145" s="26"/>
      <c r="M145" s="26"/>
      <c r="N145" s="28"/>
      <c r="O145" s="29"/>
      <c r="P145" s="27"/>
      <c r="Q145" s="26"/>
      <c r="R145" s="26"/>
      <c r="S145" s="26"/>
      <c r="T145" s="24" t="str">
        <f t="shared" ca="1" si="6"/>
        <v/>
      </c>
      <c r="U145" s="25" t="str">
        <f t="shared" ca="1" si="7"/>
        <v/>
      </c>
      <c r="V145" s="24" t="str">
        <f t="shared" si="8"/>
        <v/>
      </c>
      <c r="W145" s="25" t="str">
        <f>IF(V145="","",IF(V145&lt;=0,"Renovar",IF(V145&lt;=Listas!$T$3,"Próximo a renovar","Vigente")))</f>
        <v/>
      </c>
      <c r="X145" s="26"/>
    </row>
    <row r="146" spans="1:24" x14ac:dyDescent="0.25">
      <c r="A146" s="26"/>
      <c r="B146" s="26"/>
      <c r="C146" s="26"/>
      <c r="D146" s="26"/>
      <c r="E146" s="26"/>
      <c r="F146" s="26"/>
      <c r="G146" s="26"/>
      <c r="H146" s="26"/>
      <c r="I146" s="26"/>
      <c r="J146" s="27"/>
      <c r="K146" s="26"/>
      <c r="L146" s="26"/>
      <c r="M146" s="26"/>
      <c r="N146" s="28"/>
      <c r="O146" s="29"/>
      <c r="P146" s="27"/>
      <c r="Q146" s="26"/>
      <c r="R146" s="26"/>
      <c r="S146" s="26"/>
      <c r="T146" s="24" t="str">
        <f t="shared" ca="1" si="6"/>
        <v/>
      </c>
      <c r="U146" s="25" t="str">
        <f t="shared" ca="1" si="7"/>
        <v/>
      </c>
      <c r="V146" s="24" t="str">
        <f t="shared" si="8"/>
        <v/>
      </c>
      <c r="W146" s="25" t="str">
        <f>IF(V146="","",IF(V146&lt;=0,"Renovar",IF(V146&lt;=Listas!$T$3,"Próximo a renovar","Vigente")))</f>
        <v/>
      </c>
      <c r="X146" s="26"/>
    </row>
    <row r="147" spans="1:24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7"/>
      <c r="K147" s="26"/>
      <c r="L147" s="26"/>
      <c r="M147" s="26"/>
      <c r="N147" s="28"/>
      <c r="O147" s="29"/>
      <c r="P147" s="27"/>
      <c r="Q147" s="26"/>
      <c r="R147" s="26"/>
      <c r="S147" s="26"/>
      <c r="T147" s="24" t="str">
        <f t="shared" ca="1" si="6"/>
        <v/>
      </c>
      <c r="U147" s="25" t="str">
        <f t="shared" ca="1" si="7"/>
        <v/>
      </c>
      <c r="V147" s="24" t="str">
        <f t="shared" si="8"/>
        <v/>
      </c>
      <c r="W147" s="25" t="str">
        <f>IF(V147="","",IF(V147&lt;=0,"Renovar",IF(V147&lt;=Listas!$T$3,"Próximo a renovar","Vigente")))</f>
        <v/>
      </c>
      <c r="X147" s="26"/>
    </row>
    <row r="148" spans="1:24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7"/>
      <c r="K148" s="26"/>
      <c r="L148" s="26"/>
      <c r="M148" s="26"/>
      <c r="N148" s="28"/>
      <c r="O148" s="29"/>
      <c r="P148" s="27"/>
      <c r="Q148" s="26"/>
      <c r="R148" s="26"/>
      <c r="S148" s="26"/>
      <c r="T148" s="24" t="str">
        <f t="shared" ca="1" si="6"/>
        <v/>
      </c>
      <c r="U148" s="25" t="str">
        <f t="shared" ca="1" si="7"/>
        <v/>
      </c>
      <c r="V148" s="24" t="str">
        <f t="shared" si="8"/>
        <v/>
      </c>
      <c r="W148" s="25" t="str">
        <f>IF(V148="","",IF(V148&lt;=0,"Renovar",IF(V148&lt;=Listas!$T$3,"Próximo a renovar","Vigente")))</f>
        <v/>
      </c>
      <c r="X148" s="26"/>
    </row>
    <row r="149" spans="1:24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7"/>
      <c r="K149" s="26"/>
      <c r="L149" s="26"/>
      <c r="M149" s="26"/>
      <c r="N149" s="28"/>
      <c r="O149" s="29"/>
      <c r="P149" s="27"/>
      <c r="Q149" s="26"/>
      <c r="R149" s="26"/>
      <c r="S149" s="26"/>
      <c r="T149" s="24" t="str">
        <f t="shared" ca="1" si="6"/>
        <v/>
      </c>
      <c r="U149" s="25" t="str">
        <f t="shared" ca="1" si="7"/>
        <v/>
      </c>
      <c r="V149" s="24" t="str">
        <f t="shared" si="8"/>
        <v/>
      </c>
      <c r="W149" s="25" t="str">
        <f>IF(V149="","",IF(V149&lt;=0,"Renovar",IF(V149&lt;=Listas!$T$3,"Próximo a renovar","Vigente")))</f>
        <v/>
      </c>
      <c r="X149" s="26"/>
    </row>
    <row r="150" spans="1:24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7"/>
      <c r="K150" s="26"/>
      <c r="L150" s="26"/>
      <c r="M150" s="26"/>
      <c r="N150" s="28"/>
      <c r="O150" s="29"/>
      <c r="P150" s="27"/>
      <c r="Q150" s="26"/>
      <c r="R150" s="26"/>
      <c r="S150" s="26"/>
      <c r="T150" s="24" t="str">
        <f t="shared" ca="1" si="6"/>
        <v/>
      </c>
      <c r="U150" s="25" t="str">
        <f t="shared" ca="1" si="7"/>
        <v/>
      </c>
      <c r="V150" s="24" t="str">
        <f t="shared" si="8"/>
        <v/>
      </c>
      <c r="W150" s="25" t="str">
        <f>IF(V150="","",IF(V150&lt;=0,"Renovar",IF(V150&lt;=Listas!$T$3,"Próximo a renovar","Vigente")))</f>
        <v/>
      </c>
      <c r="X150" s="26"/>
    </row>
    <row r="151" spans="1:24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7"/>
      <c r="K151" s="26"/>
      <c r="L151" s="26"/>
      <c r="M151" s="26"/>
      <c r="N151" s="28"/>
      <c r="O151" s="29"/>
      <c r="P151" s="27"/>
      <c r="Q151" s="26"/>
      <c r="R151" s="26"/>
      <c r="S151" s="26"/>
      <c r="T151" s="24" t="str">
        <f t="shared" ca="1" si="6"/>
        <v/>
      </c>
      <c r="U151" s="25" t="str">
        <f t="shared" ca="1" si="7"/>
        <v/>
      </c>
      <c r="V151" s="24" t="str">
        <f t="shared" si="8"/>
        <v/>
      </c>
      <c r="W151" s="25" t="str">
        <f>IF(V151="","",IF(V151&lt;=0,"Renovar",IF(V151&lt;=Listas!$T$3,"Próximo a renovar","Vigente")))</f>
        <v/>
      </c>
      <c r="X151" s="26"/>
    </row>
    <row r="152" spans="1:24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7"/>
      <c r="K152" s="26"/>
      <c r="L152" s="26"/>
      <c r="M152" s="26"/>
      <c r="N152" s="28"/>
      <c r="O152" s="29"/>
      <c r="P152" s="27"/>
      <c r="Q152" s="26"/>
      <c r="R152" s="26"/>
      <c r="S152" s="26"/>
      <c r="T152" s="24" t="str">
        <f t="shared" ca="1" si="6"/>
        <v/>
      </c>
      <c r="U152" s="25" t="str">
        <f t="shared" ca="1" si="7"/>
        <v/>
      </c>
      <c r="V152" s="24" t="str">
        <f t="shared" si="8"/>
        <v/>
      </c>
      <c r="W152" s="25" t="str">
        <f>IF(V152="","",IF(V152&lt;=0,"Renovar",IF(V152&lt;=Listas!$T$3,"Próximo a renovar","Vigente")))</f>
        <v/>
      </c>
      <c r="X152" s="26"/>
    </row>
    <row r="153" spans="1:24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7"/>
      <c r="K153" s="26"/>
      <c r="L153" s="26"/>
      <c r="M153" s="26"/>
      <c r="N153" s="28"/>
      <c r="O153" s="29"/>
      <c r="P153" s="27"/>
      <c r="Q153" s="26"/>
      <c r="R153" s="26"/>
      <c r="S153" s="26"/>
      <c r="T153" s="24" t="str">
        <f t="shared" ca="1" si="6"/>
        <v/>
      </c>
      <c r="U153" s="25" t="str">
        <f t="shared" ca="1" si="7"/>
        <v/>
      </c>
      <c r="V153" s="24" t="str">
        <f t="shared" si="8"/>
        <v/>
      </c>
      <c r="W153" s="25" t="str">
        <f>IF(V153="","",IF(V153&lt;=0,"Renovar",IF(V153&lt;=Listas!$T$3,"Próximo a renovar","Vigente")))</f>
        <v/>
      </c>
      <c r="X153" s="26"/>
    </row>
    <row r="154" spans="1:24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7"/>
      <c r="K154" s="26"/>
      <c r="L154" s="26"/>
      <c r="M154" s="26"/>
      <c r="N154" s="28"/>
      <c r="O154" s="29"/>
      <c r="P154" s="27"/>
      <c r="Q154" s="26"/>
      <c r="R154" s="26"/>
      <c r="S154" s="26"/>
      <c r="T154" s="24" t="str">
        <f t="shared" ca="1" si="6"/>
        <v/>
      </c>
      <c r="U154" s="25" t="str">
        <f t="shared" ca="1" si="7"/>
        <v/>
      </c>
      <c r="V154" s="24" t="str">
        <f t="shared" si="8"/>
        <v/>
      </c>
      <c r="W154" s="25" t="str">
        <f>IF(V154="","",IF(V154&lt;=0,"Renovar",IF(V154&lt;=Listas!$T$3,"Próximo a renovar","Vigente")))</f>
        <v/>
      </c>
      <c r="X154" s="26"/>
    </row>
    <row r="155" spans="1:24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7"/>
      <c r="K155" s="26"/>
      <c r="L155" s="26"/>
      <c r="M155" s="26"/>
      <c r="N155" s="28"/>
      <c r="O155" s="29"/>
      <c r="P155" s="27"/>
      <c r="Q155" s="26"/>
      <c r="R155" s="26"/>
      <c r="S155" s="26"/>
      <c r="T155" s="24" t="str">
        <f t="shared" ca="1" si="6"/>
        <v/>
      </c>
      <c r="U155" s="25" t="str">
        <f t="shared" ca="1" si="7"/>
        <v/>
      </c>
      <c r="V155" s="24" t="str">
        <f t="shared" si="8"/>
        <v/>
      </c>
      <c r="W155" s="25" t="str">
        <f>IF(V155="","",IF(V155&lt;=0,"Renovar",IF(V155&lt;=Listas!$T$3,"Próximo a renovar","Vigente")))</f>
        <v/>
      </c>
      <c r="X155" s="26"/>
    </row>
    <row r="156" spans="1:24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7"/>
      <c r="K156" s="26"/>
      <c r="L156" s="26"/>
      <c r="M156" s="26"/>
      <c r="N156" s="28"/>
      <c r="O156" s="29"/>
      <c r="P156" s="27"/>
      <c r="Q156" s="26"/>
      <c r="R156" s="26"/>
      <c r="S156" s="26"/>
      <c r="T156" s="24" t="str">
        <f t="shared" ca="1" si="6"/>
        <v/>
      </c>
      <c r="U156" s="25" t="str">
        <f t="shared" ca="1" si="7"/>
        <v/>
      </c>
      <c r="V156" s="24" t="str">
        <f t="shared" si="8"/>
        <v/>
      </c>
      <c r="W156" s="25" t="str">
        <f>IF(V156="","",IF(V156&lt;=0,"Renovar",IF(V156&lt;=Listas!$T$3,"Próximo a renovar","Vigente")))</f>
        <v/>
      </c>
      <c r="X156" s="26"/>
    </row>
    <row r="157" spans="1:24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7"/>
      <c r="K157" s="26"/>
      <c r="L157" s="26"/>
      <c r="M157" s="26"/>
      <c r="N157" s="28"/>
      <c r="O157" s="29"/>
      <c r="P157" s="27"/>
      <c r="Q157" s="26"/>
      <c r="R157" s="26"/>
      <c r="S157" s="26"/>
      <c r="T157" s="24" t="str">
        <f t="shared" ca="1" si="6"/>
        <v/>
      </c>
      <c r="U157" s="25" t="str">
        <f t="shared" ca="1" si="7"/>
        <v/>
      </c>
      <c r="V157" s="24" t="str">
        <f t="shared" si="8"/>
        <v/>
      </c>
      <c r="W157" s="25" t="str">
        <f>IF(V157="","",IF(V157&lt;=0,"Renovar",IF(V157&lt;=Listas!$T$3,"Próximo a renovar","Vigente")))</f>
        <v/>
      </c>
      <c r="X157" s="26"/>
    </row>
    <row r="158" spans="1:24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7"/>
      <c r="K158" s="26"/>
      <c r="L158" s="26"/>
      <c r="M158" s="26"/>
      <c r="N158" s="28"/>
      <c r="O158" s="29"/>
      <c r="P158" s="27"/>
      <c r="Q158" s="26"/>
      <c r="R158" s="26"/>
      <c r="S158" s="26"/>
      <c r="T158" s="24" t="str">
        <f t="shared" ca="1" si="6"/>
        <v/>
      </c>
      <c r="U158" s="25" t="str">
        <f t="shared" ca="1" si="7"/>
        <v/>
      </c>
      <c r="V158" s="24" t="str">
        <f t="shared" si="8"/>
        <v/>
      </c>
      <c r="W158" s="25" t="str">
        <f>IF(V158="","",IF(V158&lt;=0,"Renovar",IF(V158&lt;=Listas!$T$3,"Próximo a renovar","Vigente")))</f>
        <v/>
      </c>
      <c r="X158" s="26"/>
    </row>
    <row r="159" spans="1:24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7"/>
      <c r="K159" s="26"/>
      <c r="L159" s="26"/>
      <c r="M159" s="26"/>
      <c r="N159" s="28"/>
      <c r="O159" s="29"/>
      <c r="P159" s="27"/>
      <c r="Q159" s="26"/>
      <c r="R159" s="26"/>
      <c r="S159" s="26"/>
      <c r="T159" s="24" t="str">
        <f t="shared" ca="1" si="6"/>
        <v/>
      </c>
      <c r="U159" s="25" t="str">
        <f t="shared" ca="1" si="7"/>
        <v/>
      </c>
      <c r="V159" s="24" t="str">
        <f t="shared" si="8"/>
        <v/>
      </c>
      <c r="W159" s="25" t="str">
        <f>IF(V159="","",IF(V159&lt;=0,"Renovar",IF(V159&lt;=Listas!$T$3,"Próximo a renovar","Vigente")))</f>
        <v/>
      </c>
      <c r="X159" s="26"/>
    </row>
    <row r="160" spans="1:24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7"/>
      <c r="K160" s="26"/>
      <c r="L160" s="26"/>
      <c r="M160" s="26"/>
      <c r="N160" s="28"/>
      <c r="O160" s="29"/>
      <c r="P160" s="27"/>
      <c r="Q160" s="26"/>
      <c r="R160" s="26"/>
      <c r="S160" s="26"/>
      <c r="T160" s="24" t="str">
        <f t="shared" ca="1" si="6"/>
        <v/>
      </c>
      <c r="U160" s="25" t="str">
        <f t="shared" ca="1" si="7"/>
        <v/>
      </c>
      <c r="V160" s="24" t="str">
        <f t="shared" si="8"/>
        <v/>
      </c>
      <c r="W160" s="25" t="str">
        <f>IF(V160="","",IF(V160&lt;=0,"Renovar",IF(V160&lt;=Listas!$T$3,"Próximo a renovar","Vigente")))</f>
        <v/>
      </c>
      <c r="X160" s="26"/>
    </row>
    <row r="161" spans="1:24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7"/>
      <c r="K161" s="26"/>
      <c r="L161" s="26"/>
      <c r="M161" s="26"/>
      <c r="N161" s="28"/>
      <c r="O161" s="29"/>
      <c r="P161" s="27"/>
      <c r="Q161" s="26"/>
      <c r="R161" s="26"/>
      <c r="S161" s="26"/>
      <c r="T161" s="24" t="str">
        <f t="shared" ca="1" si="6"/>
        <v/>
      </c>
      <c r="U161" s="25" t="str">
        <f t="shared" ca="1" si="7"/>
        <v/>
      </c>
      <c r="V161" s="24" t="str">
        <f t="shared" si="8"/>
        <v/>
      </c>
      <c r="W161" s="25" t="str">
        <f>IF(V161="","",IF(V161&lt;=0,"Renovar",IF(V161&lt;=Listas!$T$3,"Próximo a renovar","Vigente")))</f>
        <v/>
      </c>
      <c r="X161" s="26"/>
    </row>
    <row r="162" spans="1:24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7"/>
      <c r="K162" s="26"/>
      <c r="L162" s="26"/>
      <c r="M162" s="26"/>
      <c r="N162" s="28"/>
      <c r="O162" s="29"/>
      <c r="P162" s="27"/>
      <c r="Q162" s="26"/>
      <c r="R162" s="26"/>
      <c r="S162" s="26"/>
      <c r="T162" s="24" t="str">
        <f t="shared" ca="1" si="6"/>
        <v/>
      </c>
      <c r="U162" s="25" t="str">
        <f t="shared" ca="1" si="7"/>
        <v/>
      </c>
      <c r="V162" s="24" t="str">
        <f t="shared" si="8"/>
        <v/>
      </c>
      <c r="W162" s="25" t="str">
        <f>IF(V162="","",IF(V162&lt;=0,"Renovar",IF(V162&lt;=Listas!$T$3,"Próximo a renovar","Vigente")))</f>
        <v/>
      </c>
      <c r="X162" s="26"/>
    </row>
    <row r="163" spans="1:24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7"/>
      <c r="K163" s="26"/>
      <c r="L163" s="26"/>
      <c r="M163" s="26"/>
      <c r="N163" s="28"/>
      <c r="O163" s="29"/>
      <c r="P163" s="27"/>
      <c r="Q163" s="26"/>
      <c r="R163" s="26"/>
      <c r="S163" s="26"/>
      <c r="T163" s="24" t="str">
        <f t="shared" ca="1" si="6"/>
        <v/>
      </c>
      <c r="U163" s="25" t="str">
        <f t="shared" ca="1" si="7"/>
        <v/>
      </c>
      <c r="V163" s="24" t="str">
        <f t="shared" si="8"/>
        <v/>
      </c>
      <c r="W163" s="25" t="str">
        <f>IF(V163="","",IF(V163&lt;=0,"Renovar",IF(V163&lt;=Listas!$T$3,"Próximo a renovar","Vigente")))</f>
        <v/>
      </c>
      <c r="X163" s="26"/>
    </row>
    <row r="164" spans="1:24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7"/>
      <c r="K164" s="26"/>
      <c r="L164" s="26"/>
      <c r="M164" s="26"/>
      <c r="N164" s="28"/>
      <c r="O164" s="29"/>
      <c r="P164" s="27"/>
      <c r="Q164" s="26"/>
      <c r="R164" s="26"/>
      <c r="S164" s="26"/>
      <c r="T164" s="24" t="str">
        <f t="shared" ca="1" si="6"/>
        <v/>
      </c>
      <c r="U164" s="25" t="str">
        <f t="shared" ca="1" si="7"/>
        <v/>
      </c>
      <c r="V164" s="24" t="str">
        <f t="shared" si="8"/>
        <v/>
      </c>
      <c r="W164" s="25" t="str">
        <f>IF(V164="","",IF(V164&lt;=0,"Renovar",IF(V164&lt;=Listas!$T$3,"Próximo a renovar","Vigente")))</f>
        <v/>
      </c>
      <c r="X164" s="26"/>
    </row>
    <row r="165" spans="1:24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7"/>
      <c r="K165" s="26"/>
      <c r="L165" s="26"/>
      <c r="M165" s="26"/>
      <c r="N165" s="28"/>
      <c r="O165" s="29"/>
      <c r="P165" s="27"/>
      <c r="Q165" s="26"/>
      <c r="R165" s="26"/>
      <c r="S165" s="26"/>
      <c r="T165" s="24" t="str">
        <f t="shared" ca="1" si="6"/>
        <v/>
      </c>
      <c r="U165" s="25" t="str">
        <f t="shared" ca="1" si="7"/>
        <v/>
      </c>
      <c r="V165" s="24" t="str">
        <f t="shared" si="8"/>
        <v/>
      </c>
      <c r="W165" s="25" t="str">
        <f>IF(V165="","",IF(V165&lt;=0,"Renovar",IF(V165&lt;=Listas!$T$3,"Próximo a renovar","Vigente")))</f>
        <v/>
      </c>
      <c r="X165" s="26"/>
    </row>
    <row r="166" spans="1:24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7"/>
      <c r="K166" s="26"/>
      <c r="L166" s="26"/>
      <c r="M166" s="26"/>
      <c r="N166" s="28"/>
      <c r="O166" s="29"/>
      <c r="P166" s="27"/>
      <c r="Q166" s="26"/>
      <c r="R166" s="26"/>
      <c r="S166" s="26"/>
      <c r="T166" s="24" t="str">
        <f t="shared" ca="1" si="6"/>
        <v/>
      </c>
      <c r="U166" s="25" t="str">
        <f t="shared" ca="1" si="7"/>
        <v/>
      </c>
      <c r="V166" s="24" t="str">
        <f t="shared" si="8"/>
        <v/>
      </c>
      <c r="W166" s="25" t="str">
        <f>IF(V166="","",IF(V166&lt;=0,"Renovar",IF(V166&lt;=Listas!$T$3,"Próximo a renovar","Vigente")))</f>
        <v/>
      </c>
      <c r="X166" s="26"/>
    </row>
    <row r="167" spans="1:24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7"/>
      <c r="K167" s="26"/>
      <c r="L167" s="26"/>
      <c r="M167" s="26"/>
      <c r="N167" s="28"/>
      <c r="O167" s="29"/>
      <c r="P167" s="27"/>
      <c r="Q167" s="26"/>
      <c r="R167" s="26"/>
      <c r="S167" s="26"/>
      <c r="T167" s="24" t="str">
        <f t="shared" ca="1" si="6"/>
        <v/>
      </c>
      <c r="U167" s="25" t="str">
        <f t="shared" ca="1" si="7"/>
        <v/>
      </c>
      <c r="V167" s="24" t="str">
        <f t="shared" si="8"/>
        <v/>
      </c>
      <c r="W167" s="25" t="str">
        <f>IF(V167="","",IF(V167&lt;=0,"Renovar",IF(V167&lt;=Listas!$T$3,"Próximo a renovar","Vigente")))</f>
        <v/>
      </c>
      <c r="X167" s="26"/>
    </row>
    <row r="168" spans="1:24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7"/>
      <c r="K168" s="26"/>
      <c r="L168" s="26"/>
      <c r="M168" s="26"/>
      <c r="N168" s="28"/>
      <c r="O168" s="29"/>
      <c r="P168" s="27"/>
      <c r="Q168" s="26"/>
      <c r="R168" s="26"/>
      <c r="S168" s="26"/>
      <c r="T168" s="24" t="str">
        <f t="shared" ca="1" si="6"/>
        <v/>
      </c>
      <c r="U168" s="25" t="str">
        <f t="shared" ca="1" si="7"/>
        <v/>
      </c>
      <c r="V168" s="24" t="str">
        <f t="shared" si="8"/>
        <v/>
      </c>
      <c r="W168" s="25" t="str">
        <f>IF(V168="","",IF(V168&lt;=0,"Renovar",IF(V168&lt;=Listas!$T$3,"Próximo a renovar","Vigente")))</f>
        <v/>
      </c>
      <c r="X168" s="26"/>
    </row>
    <row r="169" spans="1:24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7"/>
      <c r="K169" s="26"/>
      <c r="L169" s="26"/>
      <c r="M169" s="26"/>
      <c r="N169" s="28"/>
      <c r="O169" s="29"/>
      <c r="P169" s="27"/>
      <c r="Q169" s="26"/>
      <c r="R169" s="26"/>
      <c r="S169" s="26"/>
      <c r="T169" s="24" t="str">
        <f t="shared" ca="1" si="6"/>
        <v/>
      </c>
      <c r="U169" s="25" t="str">
        <f t="shared" ca="1" si="7"/>
        <v/>
      </c>
      <c r="V169" s="24" t="str">
        <f t="shared" si="8"/>
        <v/>
      </c>
      <c r="W169" s="25" t="str">
        <f>IF(V169="","",IF(V169&lt;=0,"Renovar",IF(V169&lt;=Listas!$T$3,"Próximo a renovar","Vigente")))</f>
        <v/>
      </c>
      <c r="X169" s="26"/>
    </row>
    <row r="170" spans="1:24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7"/>
      <c r="K170" s="26"/>
      <c r="L170" s="26"/>
      <c r="M170" s="26"/>
      <c r="N170" s="28"/>
      <c r="O170" s="29"/>
      <c r="P170" s="27"/>
      <c r="Q170" s="26"/>
      <c r="R170" s="26"/>
      <c r="S170" s="26"/>
      <c r="T170" s="24" t="str">
        <f t="shared" ca="1" si="6"/>
        <v/>
      </c>
      <c r="U170" s="25" t="str">
        <f t="shared" ca="1" si="7"/>
        <v/>
      </c>
      <c r="V170" s="24" t="str">
        <f t="shared" si="8"/>
        <v/>
      </c>
      <c r="W170" s="25" t="str">
        <f>IF(V170="","",IF(V170&lt;=0,"Renovar",IF(V170&lt;=Listas!$T$3,"Próximo a renovar","Vigente")))</f>
        <v/>
      </c>
      <c r="X170" s="26"/>
    </row>
    <row r="171" spans="1:24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7"/>
      <c r="K171" s="26"/>
      <c r="L171" s="26"/>
      <c r="M171" s="26"/>
      <c r="N171" s="28"/>
      <c r="O171" s="29"/>
      <c r="P171" s="27"/>
      <c r="Q171" s="26"/>
      <c r="R171" s="26"/>
      <c r="S171" s="26"/>
      <c r="T171" s="24" t="str">
        <f t="shared" ca="1" si="6"/>
        <v/>
      </c>
      <c r="U171" s="25" t="str">
        <f t="shared" ca="1" si="7"/>
        <v/>
      </c>
      <c r="V171" s="24" t="str">
        <f t="shared" si="8"/>
        <v/>
      </c>
      <c r="W171" s="25" t="str">
        <f>IF(V171="","",IF(V171&lt;=0,"Renovar",IF(V171&lt;=Listas!$T$3,"Próximo a renovar","Vigente")))</f>
        <v/>
      </c>
      <c r="X171" s="26"/>
    </row>
    <row r="172" spans="1:24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7"/>
      <c r="K172" s="26"/>
      <c r="L172" s="26"/>
      <c r="M172" s="26"/>
      <c r="N172" s="28"/>
      <c r="O172" s="29"/>
      <c r="P172" s="27"/>
      <c r="Q172" s="26"/>
      <c r="R172" s="26"/>
      <c r="S172" s="26"/>
      <c r="T172" s="24" t="str">
        <f t="shared" ca="1" si="6"/>
        <v/>
      </c>
      <c r="U172" s="25" t="str">
        <f t="shared" ca="1" si="7"/>
        <v/>
      </c>
      <c r="V172" s="24" t="str">
        <f t="shared" si="8"/>
        <v/>
      </c>
      <c r="W172" s="25" t="str">
        <f>IF(V172="","",IF(V172&lt;=0,"Renovar",IF(V172&lt;=Listas!$T$3,"Próximo a renovar","Vigente")))</f>
        <v/>
      </c>
      <c r="X172" s="26"/>
    </row>
    <row r="173" spans="1:24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7"/>
      <c r="K173" s="26"/>
      <c r="L173" s="26"/>
      <c r="M173" s="26"/>
      <c r="N173" s="28"/>
      <c r="O173" s="29"/>
      <c r="P173" s="27"/>
      <c r="Q173" s="26"/>
      <c r="R173" s="26"/>
      <c r="S173" s="26"/>
      <c r="T173" s="24" t="str">
        <f t="shared" ca="1" si="6"/>
        <v/>
      </c>
      <c r="U173" s="25" t="str">
        <f t="shared" ca="1" si="7"/>
        <v/>
      </c>
      <c r="V173" s="24" t="str">
        <f t="shared" si="8"/>
        <v/>
      </c>
      <c r="W173" s="25" t="str">
        <f>IF(V173="","",IF(V173&lt;=0,"Renovar",IF(V173&lt;=Listas!$T$3,"Próximo a renovar","Vigente")))</f>
        <v/>
      </c>
      <c r="X173" s="26"/>
    </row>
    <row r="174" spans="1:24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7"/>
      <c r="K174" s="26"/>
      <c r="L174" s="26"/>
      <c r="M174" s="26"/>
      <c r="N174" s="28"/>
      <c r="O174" s="29"/>
      <c r="P174" s="27"/>
      <c r="Q174" s="26"/>
      <c r="R174" s="26"/>
      <c r="S174" s="26"/>
      <c r="T174" s="24" t="str">
        <f t="shared" ca="1" si="6"/>
        <v/>
      </c>
      <c r="U174" s="25" t="str">
        <f t="shared" ca="1" si="7"/>
        <v/>
      </c>
      <c r="V174" s="24" t="str">
        <f t="shared" si="8"/>
        <v/>
      </c>
      <c r="W174" s="25" t="str">
        <f>IF(V174="","",IF(V174&lt;=0,"Renovar",IF(V174&lt;=Listas!$T$3,"Próximo a renovar","Vigente")))</f>
        <v/>
      </c>
      <c r="X174" s="26"/>
    </row>
    <row r="175" spans="1:24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7"/>
      <c r="K175" s="26"/>
      <c r="L175" s="26"/>
      <c r="M175" s="26"/>
      <c r="N175" s="28"/>
      <c r="O175" s="29"/>
      <c r="P175" s="27"/>
      <c r="Q175" s="26"/>
      <c r="R175" s="26"/>
      <c r="S175" s="26"/>
      <c r="T175" s="24" t="str">
        <f t="shared" ca="1" si="6"/>
        <v/>
      </c>
      <c r="U175" s="25" t="str">
        <f t="shared" ca="1" si="7"/>
        <v/>
      </c>
      <c r="V175" s="24" t="str">
        <f t="shared" si="8"/>
        <v/>
      </c>
      <c r="W175" s="25" t="str">
        <f>IF(V175="","",IF(V175&lt;=0,"Renovar",IF(V175&lt;=Listas!$T$3,"Próximo a renovar","Vigente")))</f>
        <v/>
      </c>
      <c r="X175" s="26"/>
    </row>
    <row r="176" spans="1:24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7"/>
      <c r="K176" s="26"/>
      <c r="L176" s="26"/>
      <c r="M176" s="26"/>
      <c r="N176" s="28"/>
      <c r="O176" s="29"/>
      <c r="P176" s="27"/>
      <c r="Q176" s="26"/>
      <c r="R176" s="26"/>
      <c r="S176" s="26"/>
      <c r="T176" s="24" t="str">
        <f t="shared" ca="1" si="6"/>
        <v/>
      </c>
      <c r="U176" s="25" t="str">
        <f t="shared" ca="1" si="7"/>
        <v/>
      </c>
      <c r="V176" s="24" t="str">
        <f t="shared" si="8"/>
        <v/>
      </c>
      <c r="W176" s="25" t="str">
        <f>IF(V176="","",IF(V176&lt;=0,"Renovar",IF(V176&lt;=Listas!$T$3,"Próximo a renovar","Vigente")))</f>
        <v/>
      </c>
      <c r="X176" s="26"/>
    </row>
    <row r="177" spans="1:24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7"/>
      <c r="K177" s="26"/>
      <c r="L177" s="26"/>
      <c r="M177" s="26"/>
      <c r="N177" s="28"/>
      <c r="O177" s="29"/>
      <c r="P177" s="27"/>
      <c r="Q177" s="26"/>
      <c r="R177" s="26"/>
      <c r="S177" s="26"/>
      <c r="T177" s="24" t="str">
        <f t="shared" ca="1" si="6"/>
        <v/>
      </c>
      <c r="U177" s="25" t="str">
        <f t="shared" ca="1" si="7"/>
        <v/>
      </c>
      <c r="V177" s="24" t="str">
        <f t="shared" si="8"/>
        <v/>
      </c>
      <c r="W177" s="25" t="str">
        <f>IF(V177="","",IF(V177&lt;=0,"Renovar",IF(V177&lt;=Listas!$T$3,"Próximo a renovar","Vigente")))</f>
        <v/>
      </c>
      <c r="X177" s="26"/>
    </row>
    <row r="178" spans="1:24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7"/>
      <c r="K178" s="26"/>
      <c r="L178" s="26"/>
      <c r="M178" s="26"/>
      <c r="N178" s="28"/>
      <c r="O178" s="29"/>
      <c r="P178" s="27"/>
      <c r="Q178" s="26"/>
      <c r="R178" s="26"/>
      <c r="S178" s="26"/>
      <c r="T178" s="24" t="str">
        <f t="shared" ca="1" si="6"/>
        <v/>
      </c>
      <c r="U178" s="25" t="str">
        <f t="shared" ca="1" si="7"/>
        <v/>
      </c>
      <c r="V178" s="24" t="str">
        <f t="shared" si="8"/>
        <v/>
      </c>
      <c r="W178" s="25" t="str">
        <f>IF(V178="","",IF(V178&lt;=0,"Renovar",IF(V178&lt;=Listas!$T$3,"Próximo a renovar","Vigente")))</f>
        <v/>
      </c>
      <c r="X178" s="26"/>
    </row>
    <row r="179" spans="1:24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7"/>
      <c r="K179" s="26"/>
      <c r="L179" s="26"/>
      <c r="M179" s="26"/>
      <c r="N179" s="28"/>
      <c r="O179" s="29"/>
      <c r="P179" s="27"/>
      <c r="Q179" s="26"/>
      <c r="R179" s="26"/>
      <c r="S179" s="26"/>
      <c r="T179" s="24" t="str">
        <f t="shared" ca="1" si="6"/>
        <v/>
      </c>
      <c r="U179" s="25" t="str">
        <f t="shared" ca="1" si="7"/>
        <v/>
      </c>
      <c r="V179" s="24" t="str">
        <f t="shared" si="8"/>
        <v/>
      </c>
      <c r="W179" s="25" t="str">
        <f>IF(V179="","",IF(V179&lt;=0,"Renovar",IF(V179&lt;=Listas!$T$3,"Próximo a renovar","Vigente")))</f>
        <v/>
      </c>
      <c r="X179" s="26"/>
    </row>
    <row r="180" spans="1:24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7"/>
      <c r="K180" s="26"/>
      <c r="L180" s="26"/>
      <c r="M180" s="26"/>
      <c r="N180" s="28"/>
      <c r="O180" s="29"/>
      <c r="P180" s="27"/>
      <c r="Q180" s="26"/>
      <c r="R180" s="26"/>
      <c r="S180" s="26"/>
      <c r="T180" s="24" t="str">
        <f t="shared" ca="1" si="6"/>
        <v/>
      </c>
      <c r="U180" s="25" t="str">
        <f t="shared" ca="1" si="7"/>
        <v/>
      </c>
      <c r="V180" s="24" t="str">
        <f t="shared" si="8"/>
        <v/>
      </c>
      <c r="W180" s="25" t="str">
        <f>IF(V180="","",IF(V180&lt;=0,"Renovar",IF(V180&lt;=Listas!$T$3,"Próximo a renovar","Vigente")))</f>
        <v/>
      </c>
      <c r="X180" s="26"/>
    </row>
    <row r="181" spans="1:24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7"/>
      <c r="K181" s="26"/>
      <c r="L181" s="26"/>
      <c r="M181" s="26"/>
      <c r="N181" s="28"/>
      <c r="O181" s="29"/>
      <c r="P181" s="27"/>
      <c r="Q181" s="26"/>
      <c r="R181" s="26"/>
      <c r="S181" s="26"/>
      <c r="T181" s="24" t="str">
        <f t="shared" ca="1" si="6"/>
        <v/>
      </c>
      <c r="U181" s="25" t="str">
        <f t="shared" ca="1" si="7"/>
        <v/>
      </c>
      <c r="V181" s="24" t="str">
        <f t="shared" si="8"/>
        <v/>
      </c>
      <c r="W181" s="25" t="str">
        <f>IF(V181="","",IF(V181&lt;=0,"Renovar",IF(V181&lt;=Listas!$T$3,"Próximo a renovar","Vigente")))</f>
        <v/>
      </c>
      <c r="X181" s="26"/>
    </row>
    <row r="182" spans="1:24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7"/>
      <c r="K182" s="26"/>
      <c r="L182" s="26"/>
      <c r="M182" s="26"/>
      <c r="N182" s="28"/>
      <c r="O182" s="29"/>
      <c r="P182" s="27"/>
      <c r="Q182" s="26"/>
      <c r="R182" s="26"/>
      <c r="S182" s="26"/>
      <c r="T182" s="24" t="str">
        <f t="shared" ca="1" si="6"/>
        <v/>
      </c>
      <c r="U182" s="25" t="str">
        <f t="shared" ca="1" si="7"/>
        <v/>
      </c>
      <c r="V182" s="24" t="str">
        <f t="shared" si="8"/>
        <v/>
      </c>
      <c r="W182" s="25" t="str">
        <f>IF(V182="","",IF(V182&lt;=0,"Renovar",IF(V182&lt;=Listas!$T$3,"Próximo a renovar","Vigente")))</f>
        <v/>
      </c>
      <c r="X182" s="26"/>
    </row>
    <row r="183" spans="1:24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7"/>
      <c r="K183" s="26"/>
      <c r="L183" s="26"/>
      <c r="M183" s="26"/>
      <c r="N183" s="28"/>
      <c r="O183" s="29"/>
      <c r="P183" s="27"/>
      <c r="Q183" s="26"/>
      <c r="R183" s="26"/>
      <c r="S183" s="26"/>
      <c r="T183" s="24" t="str">
        <f t="shared" ca="1" si="6"/>
        <v/>
      </c>
      <c r="U183" s="25" t="str">
        <f t="shared" ca="1" si="7"/>
        <v/>
      </c>
      <c r="V183" s="24" t="str">
        <f t="shared" si="8"/>
        <v/>
      </c>
      <c r="W183" s="25" t="str">
        <f>IF(V183="","",IF(V183&lt;=0,"Renovar",IF(V183&lt;=Listas!$T$3,"Próximo a renovar","Vigente")))</f>
        <v/>
      </c>
      <c r="X183" s="26"/>
    </row>
    <row r="184" spans="1:24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7"/>
      <c r="K184" s="26"/>
      <c r="L184" s="26"/>
      <c r="M184" s="26"/>
      <c r="N184" s="28"/>
      <c r="O184" s="29"/>
      <c r="P184" s="27"/>
      <c r="Q184" s="26"/>
      <c r="R184" s="26"/>
      <c r="S184" s="26"/>
      <c r="T184" s="24" t="str">
        <f t="shared" ca="1" si="6"/>
        <v/>
      </c>
      <c r="U184" s="25" t="str">
        <f t="shared" ca="1" si="7"/>
        <v/>
      </c>
      <c r="V184" s="24" t="str">
        <f t="shared" si="8"/>
        <v/>
      </c>
      <c r="W184" s="25" t="str">
        <f>IF(V184="","",IF(V184&lt;=0,"Renovar",IF(V184&lt;=Listas!$T$3,"Próximo a renovar","Vigente")))</f>
        <v/>
      </c>
      <c r="X184" s="26"/>
    </row>
    <row r="185" spans="1:24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7"/>
      <c r="K185" s="26"/>
      <c r="L185" s="26"/>
      <c r="M185" s="26"/>
      <c r="N185" s="28"/>
      <c r="O185" s="29"/>
      <c r="P185" s="27"/>
      <c r="Q185" s="26"/>
      <c r="R185" s="26"/>
      <c r="S185" s="26"/>
      <c r="T185" s="24" t="str">
        <f t="shared" ca="1" si="6"/>
        <v/>
      </c>
      <c r="U185" s="25" t="str">
        <f t="shared" ca="1" si="7"/>
        <v/>
      </c>
      <c r="V185" s="24" t="str">
        <f t="shared" si="8"/>
        <v/>
      </c>
      <c r="W185" s="25" t="str">
        <f>IF(V185="","",IF(V185&lt;=0,"Renovar",IF(V185&lt;=Listas!$T$3,"Próximo a renovar","Vigente")))</f>
        <v/>
      </c>
      <c r="X185" s="26"/>
    </row>
    <row r="186" spans="1:24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7"/>
      <c r="K186" s="26"/>
      <c r="L186" s="26"/>
      <c r="M186" s="26"/>
      <c r="N186" s="28"/>
      <c r="O186" s="29"/>
      <c r="P186" s="27"/>
      <c r="Q186" s="26"/>
      <c r="R186" s="26"/>
      <c r="S186" s="26"/>
      <c r="T186" s="24" t="str">
        <f t="shared" ca="1" si="6"/>
        <v/>
      </c>
      <c r="U186" s="25" t="str">
        <f t="shared" ca="1" si="7"/>
        <v/>
      </c>
      <c r="V186" s="24" t="str">
        <f t="shared" si="8"/>
        <v/>
      </c>
      <c r="W186" s="25" t="str">
        <f>IF(V186="","",IF(V186&lt;=0,"Renovar",IF(V186&lt;=Listas!$T$3,"Próximo a renovar","Vigente")))</f>
        <v/>
      </c>
      <c r="X186" s="26"/>
    </row>
    <row r="187" spans="1:24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7"/>
      <c r="K187" s="26"/>
      <c r="L187" s="26"/>
      <c r="M187" s="26"/>
      <c r="N187" s="28"/>
      <c r="O187" s="29"/>
      <c r="P187" s="27"/>
      <c r="Q187" s="26"/>
      <c r="R187" s="26"/>
      <c r="S187" s="26"/>
      <c r="T187" s="24" t="str">
        <f t="shared" ca="1" si="6"/>
        <v/>
      </c>
      <c r="U187" s="25" t="str">
        <f t="shared" ca="1" si="7"/>
        <v/>
      </c>
      <c r="V187" s="24" t="str">
        <f t="shared" si="8"/>
        <v/>
      </c>
      <c r="W187" s="25" t="str">
        <f>IF(V187="","",IF(V187&lt;=0,"Renovar",IF(V187&lt;=Listas!$T$3,"Próximo a renovar","Vigente")))</f>
        <v/>
      </c>
      <c r="X187" s="26"/>
    </row>
    <row r="188" spans="1:24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7"/>
      <c r="K188" s="26"/>
      <c r="L188" s="26"/>
      <c r="M188" s="26"/>
      <c r="N188" s="28"/>
      <c r="O188" s="29"/>
      <c r="P188" s="27"/>
      <c r="Q188" s="26"/>
      <c r="R188" s="26"/>
      <c r="S188" s="26"/>
      <c r="T188" s="24" t="str">
        <f t="shared" ca="1" si="6"/>
        <v/>
      </c>
      <c r="U188" s="25" t="str">
        <f t="shared" ca="1" si="7"/>
        <v/>
      </c>
      <c r="V188" s="24" t="str">
        <f t="shared" si="8"/>
        <v/>
      </c>
      <c r="W188" s="25" t="str">
        <f>IF(V188="","",IF(V188&lt;=0,"Renovar",IF(V188&lt;=Listas!$T$3,"Próximo a renovar","Vigente")))</f>
        <v/>
      </c>
      <c r="X188" s="26"/>
    </row>
    <row r="189" spans="1:24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7"/>
      <c r="K189" s="26"/>
      <c r="L189" s="26"/>
      <c r="M189" s="26"/>
      <c r="N189" s="28"/>
      <c r="O189" s="29"/>
      <c r="P189" s="27"/>
      <c r="Q189" s="26"/>
      <c r="R189" s="26"/>
      <c r="S189" s="26"/>
      <c r="T189" s="24" t="str">
        <f t="shared" ca="1" si="6"/>
        <v/>
      </c>
      <c r="U189" s="25" t="str">
        <f t="shared" ca="1" si="7"/>
        <v/>
      </c>
      <c r="V189" s="24" t="str">
        <f t="shared" si="8"/>
        <v/>
      </c>
      <c r="W189" s="25" t="str">
        <f>IF(V189="","",IF(V189&lt;=0,"Renovar",IF(V189&lt;=Listas!$T$3,"Próximo a renovar","Vigente")))</f>
        <v/>
      </c>
      <c r="X189" s="26"/>
    </row>
    <row r="190" spans="1:24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7"/>
      <c r="K190" s="26"/>
      <c r="L190" s="26"/>
      <c r="M190" s="26"/>
      <c r="N190" s="28"/>
      <c r="O190" s="29"/>
      <c r="P190" s="27"/>
      <c r="Q190" s="26"/>
      <c r="R190" s="26"/>
      <c r="S190" s="26"/>
      <c r="T190" s="24" t="str">
        <f t="shared" ca="1" si="6"/>
        <v/>
      </c>
      <c r="U190" s="25" t="str">
        <f t="shared" ca="1" si="7"/>
        <v/>
      </c>
      <c r="V190" s="24" t="str">
        <f t="shared" si="8"/>
        <v/>
      </c>
      <c r="W190" s="25" t="str">
        <f>IF(V190="","",IF(V190&lt;=0,"Renovar",IF(V190&lt;=Listas!$T$3,"Próximo a renovar","Vigente")))</f>
        <v/>
      </c>
      <c r="X190" s="26"/>
    </row>
    <row r="191" spans="1:24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7"/>
      <c r="K191" s="26"/>
      <c r="L191" s="26"/>
      <c r="M191" s="26"/>
      <c r="N191" s="28"/>
      <c r="O191" s="29"/>
      <c r="P191" s="27"/>
      <c r="Q191" s="26"/>
      <c r="R191" s="26"/>
      <c r="S191" s="26"/>
      <c r="T191" s="24" t="str">
        <f t="shared" ca="1" si="6"/>
        <v/>
      </c>
      <c r="U191" s="25" t="str">
        <f t="shared" ca="1" si="7"/>
        <v/>
      </c>
      <c r="V191" s="24" t="str">
        <f t="shared" si="8"/>
        <v/>
      </c>
      <c r="W191" s="25" t="str">
        <f>IF(V191="","",IF(V191&lt;=0,"Renovar",IF(V191&lt;=Listas!$T$3,"Próximo a renovar","Vigente")))</f>
        <v/>
      </c>
      <c r="X191" s="26"/>
    </row>
    <row r="192" spans="1:24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7"/>
      <c r="K192" s="26"/>
      <c r="L192" s="26"/>
      <c r="M192" s="26"/>
      <c r="N192" s="28"/>
      <c r="O192" s="29"/>
      <c r="P192" s="27"/>
      <c r="Q192" s="26"/>
      <c r="R192" s="26"/>
      <c r="S192" s="26"/>
      <c r="T192" s="24" t="str">
        <f t="shared" ca="1" si="6"/>
        <v/>
      </c>
      <c r="U192" s="25" t="str">
        <f t="shared" ca="1" si="7"/>
        <v/>
      </c>
      <c r="V192" s="24" t="str">
        <f t="shared" si="8"/>
        <v/>
      </c>
      <c r="W192" s="25" t="str">
        <f>IF(V192="","",IF(V192&lt;=0,"Renovar",IF(V192&lt;=Listas!$T$3,"Próximo a renovar","Vigente")))</f>
        <v/>
      </c>
      <c r="X192" s="26"/>
    </row>
    <row r="193" spans="1:24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7"/>
      <c r="K193" s="26"/>
      <c r="L193" s="26"/>
      <c r="M193" s="26"/>
      <c r="N193" s="28"/>
      <c r="O193" s="29"/>
      <c r="P193" s="27"/>
      <c r="Q193" s="26"/>
      <c r="R193" s="26"/>
      <c r="S193" s="26"/>
      <c r="T193" s="24" t="str">
        <f t="shared" ca="1" si="6"/>
        <v/>
      </c>
      <c r="U193" s="25" t="str">
        <f t="shared" ca="1" si="7"/>
        <v/>
      </c>
      <c r="V193" s="24" t="str">
        <f t="shared" si="8"/>
        <v/>
      </c>
      <c r="W193" s="25" t="str">
        <f>IF(V193="","",IF(V193&lt;=0,"Renovar",IF(V193&lt;=Listas!$T$3,"Próximo a renovar","Vigente")))</f>
        <v/>
      </c>
      <c r="X193" s="26"/>
    </row>
    <row r="194" spans="1:24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7"/>
      <c r="K194" s="26"/>
      <c r="L194" s="26"/>
      <c r="M194" s="26"/>
      <c r="N194" s="28"/>
      <c r="O194" s="29"/>
      <c r="P194" s="27"/>
      <c r="Q194" s="26"/>
      <c r="R194" s="26"/>
      <c r="S194" s="26"/>
      <c r="T194" s="24" t="str">
        <f t="shared" ca="1" si="6"/>
        <v/>
      </c>
      <c r="U194" s="25" t="str">
        <f t="shared" ca="1" si="7"/>
        <v/>
      </c>
      <c r="V194" s="24" t="str">
        <f t="shared" si="8"/>
        <v/>
      </c>
      <c r="W194" s="25" t="str">
        <f>IF(V194="","",IF(V194&lt;=0,"Renovar",IF(V194&lt;=Listas!$T$3,"Próximo a renovar","Vigente")))</f>
        <v/>
      </c>
      <c r="X194" s="26"/>
    </row>
    <row r="195" spans="1:24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7"/>
      <c r="K195" s="26"/>
      <c r="L195" s="26"/>
      <c r="M195" s="26"/>
      <c r="N195" s="28"/>
      <c r="O195" s="29"/>
      <c r="P195" s="27"/>
      <c r="Q195" s="26"/>
      <c r="R195" s="26"/>
      <c r="S195" s="26"/>
      <c r="T195" s="24" t="str">
        <f t="shared" ca="1" si="6"/>
        <v/>
      </c>
      <c r="U195" s="25" t="str">
        <f t="shared" ca="1" si="7"/>
        <v/>
      </c>
      <c r="V195" s="24" t="str">
        <f t="shared" si="8"/>
        <v/>
      </c>
      <c r="W195" s="25" t="str">
        <f>IF(V195="","",IF(V195&lt;=0,"Renovar",IF(V195&lt;=Listas!$T$3,"Próximo a renovar","Vigente")))</f>
        <v/>
      </c>
      <c r="X195" s="26"/>
    </row>
    <row r="196" spans="1:24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7"/>
      <c r="K196" s="26"/>
      <c r="L196" s="26"/>
      <c r="M196" s="26"/>
      <c r="N196" s="28"/>
      <c r="O196" s="29"/>
      <c r="P196" s="27"/>
      <c r="Q196" s="26"/>
      <c r="R196" s="26"/>
      <c r="S196" s="26"/>
      <c r="T196" s="24" t="str">
        <f t="shared" ca="1" si="6"/>
        <v/>
      </c>
      <c r="U196" s="25" t="str">
        <f t="shared" ca="1" si="7"/>
        <v/>
      </c>
      <c r="V196" s="24" t="str">
        <f t="shared" si="8"/>
        <v/>
      </c>
      <c r="W196" s="25" t="str">
        <f>IF(V196="","",IF(V196&lt;=0,"Renovar",IF(V196&lt;=Listas!$T$3,"Próximo a renovar","Vigente")))</f>
        <v/>
      </c>
      <c r="X196" s="26"/>
    </row>
    <row r="197" spans="1:24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7"/>
      <c r="K197" s="26"/>
      <c r="L197" s="26"/>
      <c r="M197" s="26"/>
      <c r="N197" s="28"/>
      <c r="O197" s="29"/>
      <c r="P197" s="27"/>
      <c r="Q197" s="26"/>
      <c r="R197" s="26"/>
      <c r="S197" s="26"/>
      <c r="T197" s="24" t="str">
        <f t="shared" ref="T197:T260" ca="1" si="9">IF(J197="","",ROUND((TODAY()-J197)/365.25,1))</f>
        <v/>
      </c>
      <c r="U197" s="25" t="str">
        <f t="shared" ref="U197:U260" ca="1" si="10">IF(P197="","",IF(P197&gt;=TODAY(),"Vigente","Vencida"))</f>
        <v/>
      </c>
      <c r="V197" s="24" t="str">
        <f t="shared" ref="V197:V260" si="11">IF(OR(J197="",O197=""),"",ROUND(O197-T197,1))</f>
        <v/>
      </c>
      <c r="W197" s="25" t="str">
        <f>IF(V197="","",IF(V197&lt;=0,"Renovar",IF(V197&lt;=Listas!$T$3,"Próximo a renovar","Vigente")))</f>
        <v/>
      </c>
      <c r="X197" s="26"/>
    </row>
    <row r="198" spans="1:24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7"/>
      <c r="K198" s="26"/>
      <c r="L198" s="26"/>
      <c r="M198" s="26"/>
      <c r="N198" s="28"/>
      <c r="O198" s="29"/>
      <c r="P198" s="27"/>
      <c r="Q198" s="26"/>
      <c r="R198" s="26"/>
      <c r="S198" s="26"/>
      <c r="T198" s="24" t="str">
        <f t="shared" ca="1" si="9"/>
        <v/>
      </c>
      <c r="U198" s="25" t="str">
        <f t="shared" ca="1" si="10"/>
        <v/>
      </c>
      <c r="V198" s="24" t="str">
        <f t="shared" si="11"/>
        <v/>
      </c>
      <c r="W198" s="25" t="str">
        <f>IF(V198="","",IF(V198&lt;=0,"Renovar",IF(V198&lt;=Listas!$T$3,"Próximo a renovar","Vigente")))</f>
        <v/>
      </c>
      <c r="X198" s="26"/>
    </row>
    <row r="199" spans="1:24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7"/>
      <c r="K199" s="26"/>
      <c r="L199" s="26"/>
      <c r="M199" s="26"/>
      <c r="N199" s="28"/>
      <c r="O199" s="29"/>
      <c r="P199" s="27"/>
      <c r="Q199" s="26"/>
      <c r="R199" s="26"/>
      <c r="S199" s="26"/>
      <c r="T199" s="24" t="str">
        <f t="shared" ca="1" si="9"/>
        <v/>
      </c>
      <c r="U199" s="25" t="str">
        <f t="shared" ca="1" si="10"/>
        <v/>
      </c>
      <c r="V199" s="24" t="str">
        <f t="shared" si="11"/>
        <v/>
      </c>
      <c r="W199" s="25" t="str">
        <f>IF(V199="","",IF(V199&lt;=0,"Renovar",IF(V199&lt;=Listas!$T$3,"Próximo a renovar","Vigente")))</f>
        <v/>
      </c>
      <c r="X199" s="26"/>
    </row>
    <row r="200" spans="1:24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7"/>
      <c r="K200" s="26"/>
      <c r="L200" s="26"/>
      <c r="M200" s="26"/>
      <c r="N200" s="28"/>
      <c r="O200" s="29"/>
      <c r="P200" s="27"/>
      <c r="Q200" s="26"/>
      <c r="R200" s="26"/>
      <c r="S200" s="26"/>
      <c r="T200" s="24" t="str">
        <f t="shared" ca="1" si="9"/>
        <v/>
      </c>
      <c r="U200" s="25" t="str">
        <f t="shared" ca="1" si="10"/>
        <v/>
      </c>
      <c r="V200" s="24" t="str">
        <f t="shared" si="11"/>
        <v/>
      </c>
      <c r="W200" s="25" t="str">
        <f>IF(V200="","",IF(V200&lt;=0,"Renovar",IF(V200&lt;=Listas!$T$3,"Próximo a renovar","Vigente")))</f>
        <v/>
      </c>
      <c r="X200" s="26"/>
    </row>
    <row r="201" spans="1:24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7"/>
      <c r="K201" s="26"/>
      <c r="L201" s="26"/>
      <c r="M201" s="26"/>
      <c r="N201" s="28"/>
      <c r="O201" s="29"/>
      <c r="P201" s="27"/>
      <c r="Q201" s="26"/>
      <c r="R201" s="26"/>
      <c r="S201" s="26"/>
      <c r="T201" s="24" t="str">
        <f t="shared" ca="1" si="9"/>
        <v/>
      </c>
      <c r="U201" s="25" t="str">
        <f t="shared" ca="1" si="10"/>
        <v/>
      </c>
      <c r="V201" s="24" t="str">
        <f t="shared" si="11"/>
        <v/>
      </c>
      <c r="W201" s="25" t="str">
        <f>IF(V201="","",IF(V201&lt;=0,"Renovar",IF(V201&lt;=Listas!$T$3,"Próximo a renovar","Vigente")))</f>
        <v/>
      </c>
      <c r="X201" s="26"/>
    </row>
    <row r="202" spans="1:24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7"/>
      <c r="K202" s="26"/>
      <c r="L202" s="26"/>
      <c r="M202" s="26"/>
      <c r="N202" s="28"/>
      <c r="O202" s="29"/>
      <c r="P202" s="27"/>
      <c r="Q202" s="26"/>
      <c r="R202" s="26"/>
      <c r="S202" s="26"/>
      <c r="T202" s="24" t="str">
        <f t="shared" ca="1" si="9"/>
        <v/>
      </c>
      <c r="U202" s="25" t="str">
        <f t="shared" ca="1" si="10"/>
        <v/>
      </c>
      <c r="V202" s="24" t="str">
        <f t="shared" si="11"/>
        <v/>
      </c>
      <c r="W202" s="25" t="str">
        <f>IF(V202="","",IF(V202&lt;=0,"Renovar",IF(V202&lt;=Listas!$T$3,"Próximo a renovar","Vigente")))</f>
        <v/>
      </c>
      <c r="X202" s="26"/>
    </row>
    <row r="203" spans="1:24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7"/>
      <c r="K203" s="26"/>
      <c r="L203" s="26"/>
      <c r="M203" s="26"/>
      <c r="N203" s="28"/>
      <c r="O203" s="29"/>
      <c r="P203" s="27"/>
      <c r="Q203" s="26"/>
      <c r="R203" s="26"/>
      <c r="S203" s="26"/>
      <c r="T203" s="24" t="str">
        <f t="shared" ca="1" si="9"/>
        <v/>
      </c>
      <c r="U203" s="25" t="str">
        <f t="shared" ca="1" si="10"/>
        <v/>
      </c>
      <c r="V203" s="24" t="str">
        <f t="shared" si="11"/>
        <v/>
      </c>
      <c r="W203" s="25" t="str">
        <f>IF(V203="","",IF(V203&lt;=0,"Renovar",IF(V203&lt;=Listas!$T$3,"Próximo a renovar","Vigente")))</f>
        <v/>
      </c>
      <c r="X203" s="26"/>
    </row>
    <row r="204" spans="1:24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7"/>
      <c r="K204" s="26"/>
      <c r="L204" s="26"/>
      <c r="M204" s="26"/>
      <c r="N204" s="28"/>
      <c r="O204" s="29"/>
      <c r="P204" s="27"/>
      <c r="Q204" s="26"/>
      <c r="R204" s="26"/>
      <c r="S204" s="26"/>
      <c r="T204" s="24" t="str">
        <f t="shared" ca="1" si="9"/>
        <v/>
      </c>
      <c r="U204" s="25" t="str">
        <f t="shared" ca="1" si="10"/>
        <v/>
      </c>
      <c r="V204" s="24" t="str">
        <f t="shared" si="11"/>
        <v/>
      </c>
      <c r="W204" s="25" t="str">
        <f>IF(V204="","",IF(V204&lt;=0,"Renovar",IF(V204&lt;=Listas!$T$3,"Próximo a renovar","Vigente")))</f>
        <v/>
      </c>
      <c r="X204" s="26"/>
    </row>
    <row r="205" spans="1:24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7"/>
      <c r="K205" s="26"/>
      <c r="L205" s="26"/>
      <c r="M205" s="26"/>
      <c r="N205" s="28"/>
      <c r="O205" s="29"/>
      <c r="P205" s="27"/>
      <c r="Q205" s="26"/>
      <c r="R205" s="26"/>
      <c r="S205" s="26"/>
      <c r="T205" s="24" t="str">
        <f t="shared" ca="1" si="9"/>
        <v/>
      </c>
      <c r="U205" s="25" t="str">
        <f t="shared" ca="1" si="10"/>
        <v/>
      </c>
      <c r="V205" s="24" t="str">
        <f t="shared" si="11"/>
        <v/>
      </c>
      <c r="W205" s="25" t="str">
        <f>IF(V205="","",IF(V205&lt;=0,"Renovar",IF(V205&lt;=Listas!$T$3,"Próximo a renovar","Vigente")))</f>
        <v/>
      </c>
      <c r="X205" s="26"/>
    </row>
    <row r="206" spans="1:24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7"/>
      <c r="K206" s="26"/>
      <c r="L206" s="26"/>
      <c r="M206" s="26"/>
      <c r="N206" s="28"/>
      <c r="O206" s="29"/>
      <c r="P206" s="27"/>
      <c r="Q206" s="26"/>
      <c r="R206" s="26"/>
      <c r="S206" s="26"/>
      <c r="T206" s="24" t="str">
        <f t="shared" ca="1" si="9"/>
        <v/>
      </c>
      <c r="U206" s="25" t="str">
        <f t="shared" ca="1" si="10"/>
        <v/>
      </c>
      <c r="V206" s="24" t="str">
        <f t="shared" si="11"/>
        <v/>
      </c>
      <c r="W206" s="25" t="str">
        <f>IF(V206="","",IF(V206&lt;=0,"Renovar",IF(V206&lt;=Listas!$T$3,"Próximo a renovar","Vigente")))</f>
        <v/>
      </c>
      <c r="X206" s="26"/>
    </row>
    <row r="207" spans="1:24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7"/>
      <c r="K207" s="26"/>
      <c r="L207" s="26"/>
      <c r="M207" s="26"/>
      <c r="N207" s="28"/>
      <c r="O207" s="29"/>
      <c r="P207" s="27"/>
      <c r="Q207" s="26"/>
      <c r="R207" s="26"/>
      <c r="S207" s="26"/>
      <c r="T207" s="24" t="str">
        <f t="shared" ca="1" si="9"/>
        <v/>
      </c>
      <c r="U207" s="25" t="str">
        <f t="shared" ca="1" si="10"/>
        <v/>
      </c>
      <c r="V207" s="24" t="str">
        <f t="shared" si="11"/>
        <v/>
      </c>
      <c r="W207" s="25" t="str">
        <f>IF(V207="","",IF(V207&lt;=0,"Renovar",IF(V207&lt;=Listas!$T$3,"Próximo a renovar","Vigente")))</f>
        <v/>
      </c>
      <c r="X207" s="26"/>
    </row>
    <row r="208" spans="1:24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7"/>
      <c r="K208" s="26"/>
      <c r="L208" s="26"/>
      <c r="M208" s="26"/>
      <c r="N208" s="28"/>
      <c r="O208" s="29"/>
      <c r="P208" s="27"/>
      <c r="Q208" s="26"/>
      <c r="R208" s="26"/>
      <c r="S208" s="26"/>
      <c r="T208" s="24" t="str">
        <f t="shared" ca="1" si="9"/>
        <v/>
      </c>
      <c r="U208" s="25" t="str">
        <f t="shared" ca="1" si="10"/>
        <v/>
      </c>
      <c r="V208" s="24" t="str">
        <f t="shared" si="11"/>
        <v/>
      </c>
      <c r="W208" s="25" t="str">
        <f>IF(V208="","",IF(V208&lt;=0,"Renovar",IF(V208&lt;=Listas!$T$3,"Próximo a renovar","Vigente")))</f>
        <v/>
      </c>
      <c r="X208" s="26"/>
    </row>
    <row r="209" spans="1:24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7"/>
      <c r="K209" s="26"/>
      <c r="L209" s="26"/>
      <c r="M209" s="26"/>
      <c r="N209" s="28"/>
      <c r="O209" s="29"/>
      <c r="P209" s="27"/>
      <c r="Q209" s="26"/>
      <c r="R209" s="26"/>
      <c r="S209" s="26"/>
      <c r="T209" s="24" t="str">
        <f t="shared" ca="1" si="9"/>
        <v/>
      </c>
      <c r="U209" s="25" t="str">
        <f t="shared" ca="1" si="10"/>
        <v/>
      </c>
      <c r="V209" s="24" t="str">
        <f t="shared" si="11"/>
        <v/>
      </c>
      <c r="W209" s="25" t="str">
        <f>IF(V209="","",IF(V209&lt;=0,"Renovar",IF(V209&lt;=Listas!$T$3,"Próximo a renovar","Vigente")))</f>
        <v/>
      </c>
      <c r="X209" s="26"/>
    </row>
    <row r="210" spans="1:24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7"/>
      <c r="K210" s="26"/>
      <c r="L210" s="26"/>
      <c r="M210" s="26"/>
      <c r="N210" s="28"/>
      <c r="O210" s="29"/>
      <c r="P210" s="27"/>
      <c r="Q210" s="26"/>
      <c r="R210" s="26"/>
      <c r="S210" s="26"/>
      <c r="T210" s="24" t="str">
        <f t="shared" ca="1" si="9"/>
        <v/>
      </c>
      <c r="U210" s="25" t="str">
        <f t="shared" ca="1" si="10"/>
        <v/>
      </c>
      <c r="V210" s="24" t="str">
        <f t="shared" si="11"/>
        <v/>
      </c>
      <c r="W210" s="25" t="str">
        <f>IF(V210="","",IF(V210&lt;=0,"Renovar",IF(V210&lt;=Listas!$T$3,"Próximo a renovar","Vigente")))</f>
        <v/>
      </c>
      <c r="X210" s="26"/>
    </row>
    <row r="211" spans="1:24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7"/>
      <c r="K211" s="26"/>
      <c r="L211" s="26"/>
      <c r="M211" s="26"/>
      <c r="N211" s="28"/>
      <c r="O211" s="29"/>
      <c r="P211" s="27"/>
      <c r="Q211" s="26"/>
      <c r="R211" s="26"/>
      <c r="S211" s="26"/>
      <c r="T211" s="24" t="str">
        <f t="shared" ca="1" si="9"/>
        <v/>
      </c>
      <c r="U211" s="25" t="str">
        <f t="shared" ca="1" si="10"/>
        <v/>
      </c>
      <c r="V211" s="24" t="str">
        <f t="shared" si="11"/>
        <v/>
      </c>
      <c r="W211" s="25" t="str">
        <f>IF(V211="","",IF(V211&lt;=0,"Renovar",IF(V211&lt;=Listas!$T$3,"Próximo a renovar","Vigente")))</f>
        <v/>
      </c>
      <c r="X211" s="26"/>
    </row>
    <row r="212" spans="1:24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7"/>
      <c r="K212" s="26"/>
      <c r="L212" s="26"/>
      <c r="M212" s="26"/>
      <c r="N212" s="28"/>
      <c r="O212" s="29"/>
      <c r="P212" s="27"/>
      <c r="Q212" s="26"/>
      <c r="R212" s="26"/>
      <c r="S212" s="26"/>
      <c r="T212" s="24" t="str">
        <f t="shared" ca="1" si="9"/>
        <v/>
      </c>
      <c r="U212" s="25" t="str">
        <f t="shared" ca="1" si="10"/>
        <v/>
      </c>
      <c r="V212" s="24" t="str">
        <f t="shared" si="11"/>
        <v/>
      </c>
      <c r="W212" s="25" t="str">
        <f>IF(V212="","",IF(V212&lt;=0,"Renovar",IF(V212&lt;=Listas!$T$3,"Próximo a renovar","Vigente")))</f>
        <v/>
      </c>
      <c r="X212" s="26"/>
    </row>
    <row r="213" spans="1:24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7"/>
      <c r="K213" s="26"/>
      <c r="L213" s="26"/>
      <c r="M213" s="26"/>
      <c r="N213" s="28"/>
      <c r="O213" s="29"/>
      <c r="P213" s="27"/>
      <c r="Q213" s="26"/>
      <c r="R213" s="26"/>
      <c r="S213" s="26"/>
      <c r="T213" s="24" t="str">
        <f t="shared" ca="1" si="9"/>
        <v/>
      </c>
      <c r="U213" s="25" t="str">
        <f t="shared" ca="1" si="10"/>
        <v/>
      </c>
      <c r="V213" s="24" t="str">
        <f t="shared" si="11"/>
        <v/>
      </c>
      <c r="W213" s="25" t="str">
        <f>IF(V213="","",IF(V213&lt;=0,"Renovar",IF(V213&lt;=Listas!$T$3,"Próximo a renovar","Vigente")))</f>
        <v/>
      </c>
      <c r="X213" s="26"/>
    </row>
    <row r="214" spans="1:24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7"/>
      <c r="K214" s="26"/>
      <c r="L214" s="26"/>
      <c r="M214" s="26"/>
      <c r="N214" s="28"/>
      <c r="O214" s="29"/>
      <c r="P214" s="27"/>
      <c r="Q214" s="26"/>
      <c r="R214" s="26"/>
      <c r="S214" s="26"/>
      <c r="T214" s="24" t="str">
        <f t="shared" ca="1" si="9"/>
        <v/>
      </c>
      <c r="U214" s="25" t="str">
        <f t="shared" ca="1" si="10"/>
        <v/>
      </c>
      <c r="V214" s="24" t="str">
        <f t="shared" si="11"/>
        <v/>
      </c>
      <c r="W214" s="25" t="str">
        <f>IF(V214="","",IF(V214&lt;=0,"Renovar",IF(V214&lt;=Listas!$T$3,"Próximo a renovar","Vigente")))</f>
        <v/>
      </c>
      <c r="X214" s="26"/>
    </row>
    <row r="215" spans="1:24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7"/>
      <c r="K215" s="26"/>
      <c r="L215" s="26"/>
      <c r="M215" s="26"/>
      <c r="N215" s="28"/>
      <c r="O215" s="29"/>
      <c r="P215" s="27"/>
      <c r="Q215" s="26"/>
      <c r="R215" s="26"/>
      <c r="S215" s="26"/>
      <c r="T215" s="24" t="str">
        <f t="shared" ca="1" si="9"/>
        <v/>
      </c>
      <c r="U215" s="25" t="str">
        <f t="shared" ca="1" si="10"/>
        <v/>
      </c>
      <c r="V215" s="24" t="str">
        <f t="shared" si="11"/>
        <v/>
      </c>
      <c r="W215" s="25" t="str">
        <f>IF(V215="","",IF(V215&lt;=0,"Renovar",IF(V215&lt;=Listas!$T$3,"Próximo a renovar","Vigente")))</f>
        <v/>
      </c>
      <c r="X215" s="26"/>
    </row>
    <row r="216" spans="1:24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7"/>
      <c r="K216" s="26"/>
      <c r="L216" s="26"/>
      <c r="M216" s="26"/>
      <c r="N216" s="28"/>
      <c r="O216" s="29"/>
      <c r="P216" s="27"/>
      <c r="Q216" s="26"/>
      <c r="R216" s="26"/>
      <c r="S216" s="26"/>
      <c r="T216" s="24" t="str">
        <f t="shared" ca="1" si="9"/>
        <v/>
      </c>
      <c r="U216" s="25" t="str">
        <f t="shared" ca="1" si="10"/>
        <v/>
      </c>
      <c r="V216" s="24" t="str">
        <f t="shared" si="11"/>
        <v/>
      </c>
      <c r="W216" s="25" t="str">
        <f>IF(V216="","",IF(V216&lt;=0,"Renovar",IF(V216&lt;=Listas!$T$3,"Próximo a renovar","Vigente")))</f>
        <v/>
      </c>
      <c r="X216" s="26"/>
    </row>
    <row r="217" spans="1:24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7"/>
      <c r="K217" s="26"/>
      <c r="L217" s="26"/>
      <c r="M217" s="26"/>
      <c r="N217" s="28"/>
      <c r="O217" s="29"/>
      <c r="P217" s="27"/>
      <c r="Q217" s="26"/>
      <c r="R217" s="26"/>
      <c r="S217" s="26"/>
      <c r="T217" s="24" t="str">
        <f t="shared" ca="1" si="9"/>
        <v/>
      </c>
      <c r="U217" s="25" t="str">
        <f t="shared" ca="1" si="10"/>
        <v/>
      </c>
      <c r="V217" s="24" t="str">
        <f t="shared" si="11"/>
        <v/>
      </c>
      <c r="W217" s="25" t="str">
        <f>IF(V217="","",IF(V217&lt;=0,"Renovar",IF(V217&lt;=Listas!$T$3,"Próximo a renovar","Vigente")))</f>
        <v/>
      </c>
      <c r="X217" s="26"/>
    </row>
    <row r="218" spans="1:24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7"/>
      <c r="K218" s="26"/>
      <c r="L218" s="26"/>
      <c r="M218" s="26"/>
      <c r="N218" s="28"/>
      <c r="O218" s="29"/>
      <c r="P218" s="27"/>
      <c r="Q218" s="26"/>
      <c r="R218" s="26"/>
      <c r="S218" s="26"/>
      <c r="T218" s="24" t="str">
        <f t="shared" ca="1" si="9"/>
        <v/>
      </c>
      <c r="U218" s="25" t="str">
        <f t="shared" ca="1" si="10"/>
        <v/>
      </c>
      <c r="V218" s="24" t="str">
        <f t="shared" si="11"/>
        <v/>
      </c>
      <c r="W218" s="25" t="str">
        <f>IF(V218="","",IF(V218&lt;=0,"Renovar",IF(V218&lt;=Listas!$T$3,"Próximo a renovar","Vigente")))</f>
        <v/>
      </c>
      <c r="X218" s="26"/>
    </row>
    <row r="219" spans="1:24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7"/>
      <c r="K219" s="26"/>
      <c r="L219" s="26"/>
      <c r="M219" s="26"/>
      <c r="N219" s="28"/>
      <c r="O219" s="29"/>
      <c r="P219" s="27"/>
      <c r="Q219" s="26"/>
      <c r="R219" s="26"/>
      <c r="S219" s="26"/>
      <c r="T219" s="24" t="str">
        <f t="shared" ca="1" si="9"/>
        <v/>
      </c>
      <c r="U219" s="25" t="str">
        <f t="shared" ca="1" si="10"/>
        <v/>
      </c>
      <c r="V219" s="24" t="str">
        <f t="shared" si="11"/>
        <v/>
      </c>
      <c r="W219" s="25" t="str">
        <f>IF(V219="","",IF(V219&lt;=0,"Renovar",IF(V219&lt;=Listas!$T$3,"Próximo a renovar","Vigente")))</f>
        <v/>
      </c>
      <c r="X219" s="26"/>
    </row>
    <row r="220" spans="1:24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7"/>
      <c r="K220" s="26"/>
      <c r="L220" s="26"/>
      <c r="M220" s="26"/>
      <c r="N220" s="28"/>
      <c r="O220" s="29"/>
      <c r="P220" s="27"/>
      <c r="Q220" s="26"/>
      <c r="R220" s="26"/>
      <c r="S220" s="26"/>
      <c r="T220" s="24" t="str">
        <f t="shared" ca="1" si="9"/>
        <v/>
      </c>
      <c r="U220" s="25" t="str">
        <f t="shared" ca="1" si="10"/>
        <v/>
      </c>
      <c r="V220" s="24" t="str">
        <f t="shared" si="11"/>
        <v/>
      </c>
      <c r="W220" s="25" t="str">
        <f>IF(V220="","",IF(V220&lt;=0,"Renovar",IF(V220&lt;=Listas!$T$3,"Próximo a renovar","Vigente")))</f>
        <v/>
      </c>
      <c r="X220" s="26"/>
    </row>
    <row r="221" spans="1:24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7"/>
      <c r="K221" s="26"/>
      <c r="L221" s="26"/>
      <c r="M221" s="26"/>
      <c r="N221" s="28"/>
      <c r="O221" s="29"/>
      <c r="P221" s="27"/>
      <c r="Q221" s="26"/>
      <c r="R221" s="26"/>
      <c r="S221" s="26"/>
      <c r="T221" s="24" t="str">
        <f t="shared" ca="1" si="9"/>
        <v/>
      </c>
      <c r="U221" s="25" t="str">
        <f t="shared" ca="1" si="10"/>
        <v/>
      </c>
      <c r="V221" s="24" t="str">
        <f t="shared" si="11"/>
        <v/>
      </c>
      <c r="W221" s="25" t="str">
        <f>IF(V221="","",IF(V221&lt;=0,"Renovar",IF(V221&lt;=Listas!$T$3,"Próximo a renovar","Vigente")))</f>
        <v/>
      </c>
      <c r="X221" s="26"/>
    </row>
    <row r="222" spans="1:24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7"/>
      <c r="K222" s="26"/>
      <c r="L222" s="26"/>
      <c r="M222" s="26"/>
      <c r="N222" s="28"/>
      <c r="O222" s="29"/>
      <c r="P222" s="27"/>
      <c r="Q222" s="26"/>
      <c r="R222" s="26"/>
      <c r="S222" s="26"/>
      <c r="T222" s="24" t="str">
        <f t="shared" ca="1" si="9"/>
        <v/>
      </c>
      <c r="U222" s="25" t="str">
        <f t="shared" ca="1" si="10"/>
        <v/>
      </c>
      <c r="V222" s="24" t="str">
        <f t="shared" si="11"/>
        <v/>
      </c>
      <c r="W222" s="25" t="str">
        <f>IF(V222="","",IF(V222&lt;=0,"Renovar",IF(V222&lt;=Listas!$T$3,"Próximo a renovar","Vigente")))</f>
        <v/>
      </c>
      <c r="X222" s="26"/>
    </row>
    <row r="223" spans="1:24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7"/>
      <c r="K223" s="26"/>
      <c r="L223" s="26"/>
      <c r="M223" s="26"/>
      <c r="N223" s="28"/>
      <c r="O223" s="29"/>
      <c r="P223" s="27"/>
      <c r="Q223" s="26"/>
      <c r="R223" s="26"/>
      <c r="S223" s="26"/>
      <c r="T223" s="24" t="str">
        <f t="shared" ca="1" si="9"/>
        <v/>
      </c>
      <c r="U223" s="25" t="str">
        <f t="shared" ca="1" si="10"/>
        <v/>
      </c>
      <c r="V223" s="24" t="str">
        <f t="shared" si="11"/>
        <v/>
      </c>
      <c r="W223" s="25" t="str">
        <f>IF(V223="","",IF(V223&lt;=0,"Renovar",IF(V223&lt;=Listas!$T$3,"Próximo a renovar","Vigente")))</f>
        <v/>
      </c>
      <c r="X223" s="26"/>
    </row>
    <row r="224" spans="1:24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7"/>
      <c r="K224" s="26"/>
      <c r="L224" s="26"/>
      <c r="M224" s="26"/>
      <c r="N224" s="28"/>
      <c r="O224" s="29"/>
      <c r="P224" s="27"/>
      <c r="Q224" s="26"/>
      <c r="R224" s="26"/>
      <c r="S224" s="26"/>
      <c r="T224" s="24" t="str">
        <f t="shared" ca="1" si="9"/>
        <v/>
      </c>
      <c r="U224" s="25" t="str">
        <f t="shared" ca="1" si="10"/>
        <v/>
      </c>
      <c r="V224" s="24" t="str">
        <f t="shared" si="11"/>
        <v/>
      </c>
      <c r="W224" s="25" t="str">
        <f>IF(V224="","",IF(V224&lt;=0,"Renovar",IF(V224&lt;=Listas!$T$3,"Próximo a renovar","Vigente")))</f>
        <v/>
      </c>
      <c r="X224" s="26"/>
    </row>
    <row r="225" spans="1:24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7"/>
      <c r="K225" s="26"/>
      <c r="L225" s="26"/>
      <c r="M225" s="26"/>
      <c r="N225" s="28"/>
      <c r="O225" s="29"/>
      <c r="P225" s="27"/>
      <c r="Q225" s="26"/>
      <c r="R225" s="26"/>
      <c r="S225" s="26"/>
      <c r="T225" s="24" t="str">
        <f t="shared" ca="1" si="9"/>
        <v/>
      </c>
      <c r="U225" s="25" t="str">
        <f t="shared" ca="1" si="10"/>
        <v/>
      </c>
      <c r="V225" s="24" t="str">
        <f t="shared" si="11"/>
        <v/>
      </c>
      <c r="W225" s="25" t="str">
        <f>IF(V225="","",IF(V225&lt;=0,"Renovar",IF(V225&lt;=Listas!$T$3,"Próximo a renovar","Vigente")))</f>
        <v/>
      </c>
      <c r="X225" s="26"/>
    </row>
    <row r="226" spans="1:24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7"/>
      <c r="K226" s="26"/>
      <c r="L226" s="26"/>
      <c r="M226" s="26"/>
      <c r="N226" s="28"/>
      <c r="O226" s="29"/>
      <c r="P226" s="27"/>
      <c r="Q226" s="26"/>
      <c r="R226" s="26"/>
      <c r="S226" s="26"/>
      <c r="T226" s="24" t="str">
        <f t="shared" ca="1" si="9"/>
        <v/>
      </c>
      <c r="U226" s="25" t="str">
        <f t="shared" ca="1" si="10"/>
        <v/>
      </c>
      <c r="V226" s="24" t="str">
        <f t="shared" si="11"/>
        <v/>
      </c>
      <c r="W226" s="25" t="str">
        <f>IF(V226="","",IF(V226&lt;=0,"Renovar",IF(V226&lt;=Listas!$T$3,"Próximo a renovar","Vigente")))</f>
        <v/>
      </c>
      <c r="X226" s="26"/>
    </row>
    <row r="227" spans="1:24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7"/>
      <c r="K227" s="26"/>
      <c r="L227" s="26"/>
      <c r="M227" s="26"/>
      <c r="N227" s="28"/>
      <c r="O227" s="29"/>
      <c r="P227" s="27"/>
      <c r="Q227" s="26"/>
      <c r="R227" s="26"/>
      <c r="S227" s="26"/>
      <c r="T227" s="24" t="str">
        <f t="shared" ca="1" si="9"/>
        <v/>
      </c>
      <c r="U227" s="25" t="str">
        <f t="shared" ca="1" si="10"/>
        <v/>
      </c>
      <c r="V227" s="24" t="str">
        <f t="shared" si="11"/>
        <v/>
      </c>
      <c r="W227" s="25" t="str">
        <f>IF(V227="","",IF(V227&lt;=0,"Renovar",IF(V227&lt;=Listas!$T$3,"Próximo a renovar","Vigente")))</f>
        <v/>
      </c>
      <c r="X227" s="26"/>
    </row>
    <row r="228" spans="1:24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7"/>
      <c r="K228" s="26"/>
      <c r="L228" s="26"/>
      <c r="M228" s="26"/>
      <c r="N228" s="28"/>
      <c r="O228" s="29"/>
      <c r="P228" s="27"/>
      <c r="Q228" s="26"/>
      <c r="R228" s="26"/>
      <c r="S228" s="26"/>
      <c r="T228" s="24" t="str">
        <f t="shared" ca="1" si="9"/>
        <v/>
      </c>
      <c r="U228" s="25" t="str">
        <f t="shared" ca="1" si="10"/>
        <v/>
      </c>
      <c r="V228" s="24" t="str">
        <f t="shared" si="11"/>
        <v/>
      </c>
      <c r="W228" s="25" t="str">
        <f>IF(V228="","",IF(V228&lt;=0,"Renovar",IF(V228&lt;=Listas!$T$3,"Próximo a renovar","Vigente")))</f>
        <v/>
      </c>
      <c r="X228" s="26"/>
    </row>
    <row r="229" spans="1:24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7"/>
      <c r="K229" s="26"/>
      <c r="L229" s="26"/>
      <c r="M229" s="26"/>
      <c r="N229" s="28"/>
      <c r="O229" s="29"/>
      <c r="P229" s="27"/>
      <c r="Q229" s="26"/>
      <c r="R229" s="26"/>
      <c r="S229" s="26"/>
      <c r="T229" s="24" t="str">
        <f t="shared" ca="1" si="9"/>
        <v/>
      </c>
      <c r="U229" s="25" t="str">
        <f t="shared" ca="1" si="10"/>
        <v/>
      </c>
      <c r="V229" s="24" t="str">
        <f t="shared" si="11"/>
        <v/>
      </c>
      <c r="W229" s="25" t="str">
        <f>IF(V229="","",IF(V229&lt;=0,"Renovar",IF(V229&lt;=Listas!$T$3,"Próximo a renovar","Vigente")))</f>
        <v/>
      </c>
      <c r="X229" s="26"/>
    </row>
    <row r="230" spans="1:24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7"/>
      <c r="K230" s="26"/>
      <c r="L230" s="26"/>
      <c r="M230" s="26"/>
      <c r="N230" s="28"/>
      <c r="O230" s="29"/>
      <c r="P230" s="27"/>
      <c r="Q230" s="26"/>
      <c r="R230" s="26"/>
      <c r="S230" s="26"/>
      <c r="T230" s="24" t="str">
        <f t="shared" ca="1" si="9"/>
        <v/>
      </c>
      <c r="U230" s="25" t="str">
        <f t="shared" ca="1" si="10"/>
        <v/>
      </c>
      <c r="V230" s="24" t="str">
        <f t="shared" si="11"/>
        <v/>
      </c>
      <c r="W230" s="25" t="str">
        <f>IF(V230="","",IF(V230&lt;=0,"Renovar",IF(V230&lt;=Listas!$T$3,"Próximo a renovar","Vigente")))</f>
        <v/>
      </c>
      <c r="X230" s="26"/>
    </row>
    <row r="231" spans="1:24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7"/>
      <c r="K231" s="26"/>
      <c r="L231" s="26"/>
      <c r="M231" s="26"/>
      <c r="N231" s="28"/>
      <c r="O231" s="29"/>
      <c r="P231" s="27"/>
      <c r="Q231" s="26"/>
      <c r="R231" s="26"/>
      <c r="S231" s="26"/>
      <c r="T231" s="24" t="str">
        <f t="shared" ca="1" si="9"/>
        <v/>
      </c>
      <c r="U231" s="25" t="str">
        <f t="shared" ca="1" si="10"/>
        <v/>
      </c>
      <c r="V231" s="24" t="str">
        <f t="shared" si="11"/>
        <v/>
      </c>
      <c r="W231" s="25" t="str">
        <f>IF(V231="","",IF(V231&lt;=0,"Renovar",IF(V231&lt;=Listas!$T$3,"Próximo a renovar","Vigente")))</f>
        <v/>
      </c>
      <c r="X231" s="26"/>
    </row>
    <row r="232" spans="1:24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7"/>
      <c r="K232" s="26"/>
      <c r="L232" s="26"/>
      <c r="M232" s="26"/>
      <c r="N232" s="28"/>
      <c r="O232" s="29"/>
      <c r="P232" s="27"/>
      <c r="Q232" s="26"/>
      <c r="R232" s="26"/>
      <c r="S232" s="26"/>
      <c r="T232" s="24" t="str">
        <f t="shared" ca="1" si="9"/>
        <v/>
      </c>
      <c r="U232" s="25" t="str">
        <f t="shared" ca="1" si="10"/>
        <v/>
      </c>
      <c r="V232" s="24" t="str">
        <f t="shared" si="11"/>
        <v/>
      </c>
      <c r="W232" s="25" t="str">
        <f>IF(V232="","",IF(V232&lt;=0,"Renovar",IF(V232&lt;=Listas!$T$3,"Próximo a renovar","Vigente")))</f>
        <v/>
      </c>
      <c r="X232" s="26"/>
    </row>
    <row r="233" spans="1:24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7"/>
      <c r="K233" s="26"/>
      <c r="L233" s="26"/>
      <c r="M233" s="26"/>
      <c r="N233" s="28"/>
      <c r="O233" s="29"/>
      <c r="P233" s="27"/>
      <c r="Q233" s="26"/>
      <c r="R233" s="26"/>
      <c r="S233" s="26"/>
      <c r="T233" s="24" t="str">
        <f t="shared" ca="1" si="9"/>
        <v/>
      </c>
      <c r="U233" s="25" t="str">
        <f t="shared" ca="1" si="10"/>
        <v/>
      </c>
      <c r="V233" s="24" t="str">
        <f t="shared" si="11"/>
        <v/>
      </c>
      <c r="W233" s="25" t="str">
        <f>IF(V233="","",IF(V233&lt;=0,"Renovar",IF(V233&lt;=Listas!$T$3,"Próximo a renovar","Vigente")))</f>
        <v/>
      </c>
      <c r="X233" s="26"/>
    </row>
    <row r="234" spans="1:24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7"/>
      <c r="K234" s="26"/>
      <c r="L234" s="26"/>
      <c r="M234" s="26"/>
      <c r="N234" s="28"/>
      <c r="O234" s="29"/>
      <c r="P234" s="27"/>
      <c r="Q234" s="26"/>
      <c r="R234" s="26"/>
      <c r="S234" s="26"/>
      <c r="T234" s="24" t="str">
        <f t="shared" ca="1" si="9"/>
        <v/>
      </c>
      <c r="U234" s="25" t="str">
        <f t="shared" ca="1" si="10"/>
        <v/>
      </c>
      <c r="V234" s="24" t="str">
        <f t="shared" si="11"/>
        <v/>
      </c>
      <c r="W234" s="25" t="str">
        <f>IF(V234="","",IF(V234&lt;=0,"Renovar",IF(V234&lt;=Listas!$T$3,"Próximo a renovar","Vigente")))</f>
        <v/>
      </c>
      <c r="X234" s="26"/>
    </row>
    <row r="235" spans="1:24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7"/>
      <c r="K235" s="26"/>
      <c r="L235" s="26"/>
      <c r="M235" s="26"/>
      <c r="N235" s="28"/>
      <c r="O235" s="29"/>
      <c r="P235" s="27"/>
      <c r="Q235" s="26"/>
      <c r="R235" s="26"/>
      <c r="S235" s="26"/>
      <c r="T235" s="24" t="str">
        <f t="shared" ca="1" si="9"/>
        <v/>
      </c>
      <c r="U235" s="25" t="str">
        <f t="shared" ca="1" si="10"/>
        <v/>
      </c>
      <c r="V235" s="24" t="str">
        <f t="shared" si="11"/>
        <v/>
      </c>
      <c r="W235" s="25" t="str">
        <f>IF(V235="","",IF(V235&lt;=0,"Renovar",IF(V235&lt;=Listas!$T$3,"Próximo a renovar","Vigente")))</f>
        <v/>
      </c>
      <c r="X235" s="26"/>
    </row>
    <row r="236" spans="1:24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7"/>
      <c r="K236" s="26"/>
      <c r="L236" s="26"/>
      <c r="M236" s="26"/>
      <c r="N236" s="28"/>
      <c r="O236" s="29"/>
      <c r="P236" s="27"/>
      <c r="Q236" s="26"/>
      <c r="R236" s="26"/>
      <c r="S236" s="26"/>
      <c r="T236" s="24" t="str">
        <f t="shared" ca="1" si="9"/>
        <v/>
      </c>
      <c r="U236" s="25" t="str">
        <f t="shared" ca="1" si="10"/>
        <v/>
      </c>
      <c r="V236" s="24" t="str">
        <f t="shared" si="11"/>
        <v/>
      </c>
      <c r="W236" s="25" t="str">
        <f>IF(V236="","",IF(V236&lt;=0,"Renovar",IF(V236&lt;=Listas!$T$3,"Próximo a renovar","Vigente")))</f>
        <v/>
      </c>
      <c r="X236" s="26"/>
    </row>
    <row r="237" spans="1:24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7"/>
      <c r="K237" s="26"/>
      <c r="L237" s="26"/>
      <c r="M237" s="26"/>
      <c r="N237" s="28"/>
      <c r="O237" s="29"/>
      <c r="P237" s="27"/>
      <c r="Q237" s="26"/>
      <c r="R237" s="26"/>
      <c r="S237" s="26"/>
      <c r="T237" s="24" t="str">
        <f t="shared" ca="1" si="9"/>
        <v/>
      </c>
      <c r="U237" s="25" t="str">
        <f t="shared" ca="1" si="10"/>
        <v/>
      </c>
      <c r="V237" s="24" t="str">
        <f t="shared" si="11"/>
        <v/>
      </c>
      <c r="W237" s="25" t="str">
        <f>IF(V237="","",IF(V237&lt;=0,"Renovar",IF(V237&lt;=Listas!$T$3,"Próximo a renovar","Vigente")))</f>
        <v/>
      </c>
      <c r="X237" s="26"/>
    </row>
    <row r="238" spans="1:24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7"/>
      <c r="K238" s="26"/>
      <c r="L238" s="26"/>
      <c r="M238" s="26"/>
      <c r="N238" s="28"/>
      <c r="O238" s="29"/>
      <c r="P238" s="27"/>
      <c r="Q238" s="26"/>
      <c r="R238" s="26"/>
      <c r="S238" s="26"/>
      <c r="T238" s="24" t="str">
        <f t="shared" ca="1" si="9"/>
        <v/>
      </c>
      <c r="U238" s="25" t="str">
        <f t="shared" ca="1" si="10"/>
        <v/>
      </c>
      <c r="V238" s="24" t="str">
        <f t="shared" si="11"/>
        <v/>
      </c>
      <c r="W238" s="25" t="str">
        <f>IF(V238="","",IF(V238&lt;=0,"Renovar",IF(V238&lt;=Listas!$T$3,"Próximo a renovar","Vigente")))</f>
        <v/>
      </c>
      <c r="X238" s="26"/>
    </row>
    <row r="239" spans="1:24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7"/>
      <c r="K239" s="26"/>
      <c r="L239" s="26"/>
      <c r="M239" s="26"/>
      <c r="N239" s="28"/>
      <c r="O239" s="29"/>
      <c r="P239" s="27"/>
      <c r="Q239" s="26"/>
      <c r="R239" s="26"/>
      <c r="S239" s="26"/>
      <c r="T239" s="24" t="str">
        <f t="shared" ca="1" si="9"/>
        <v/>
      </c>
      <c r="U239" s="25" t="str">
        <f t="shared" ca="1" si="10"/>
        <v/>
      </c>
      <c r="V239" s="24" t="str">
        <f t="shared" si="11"/>
        <v/>
      </c>
      <c r="W239" s="25" t="str">
        <f>IF(V239="","",IF(V239&lt;=0,"Renovar",IF(V239&lt;=Listas!$T$3,"Próximo a renovar","Vigente")))</f>
        <v/>
      </c>
      <c r="X239" s="26"/>
    </row>
    <row r="240" spans="1:24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7"/>
      <c r="K240" s="26"/>
      <c r="L240" s="26"/>
      <c r="M240" s="26"/>
      <c r="N240" s="28"/>
      <c r="O240" s="29"/>
      <c r="P240" s="27"/>
      <c r="Q240" s="26"/>
      <c r="R240" s="26"/>
      <c r="S240" s="26"/>
      <c r="T240" s="24" t="str">
        <f t="shared" ca="1" si="9"/>
        <v/>
      </c>
      <c r="U240" s="25" t="str">
        <f t="shared" ca="1" si="10"/>
        <v/>
      </c>
      <c r="V240" s="24" t="str">
        <f t="shared" si="11"/>
        <v/>
      </c>
      <c r="W240" s="25" t="str">
        <f>IF(V240="","",IF(V240&lt;=0,"Renovar",IF(V240&lt;=Listas!$T$3,"Próximo a renovar","Vigente")))</f>
        <v/>
      </c>
      <c r="X240" s="26"/>
    </row>
    <row r="241" spans="1:24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7"/>
      <c r="K241" s="26"/>
      <c r="L241" s="26"/>
      <c r="M241" s="26"/>
      <c r="N241" s="28"/>
      <c r="O241" s="29"/>
      <c r="P241" s="27"/>
      <c r="Q241" s="26"/>
      <c r="R241" s="26"/>
      <c r="S241" s="26"/>
      <c r="T241" s="24" t="str">
        <f t="shared" ca="1" si="9"/>
        <v/>
      </c>
      <c r="U241" s="25" t="str">
        <f t="shared" ca="1" si="10"/>
        <v/>
      </c>
      <c r="V241" s="24" t="str">
        <f t="shared" si="11"/>
        <v/>
      </c>
      <c r="W241" s="25" t="str">
        <f>IF(V241="","",IF(V241&lt;=0,"Renovar",IF(V241&lt;=Listas!$T$3,"Próximo a renovar","Vigente")))</f>
        <v/>
      </c>
      <c r="X241" s="26"/>
    </row>
    <row r="242" spans="1:24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7"/>
      <c r="K242" s="26"/>
      <c r="L242" s="26"/>
      <c r="M242" s="26"/>
      <c r="N242" s="28"/>
      <c r="O242" s="29"/>
      <c r="P242" s="27"/>
      <c r="Q242" s="26"/>
      <c r="R242" s="26"/>
      <c r="S242" s="26"/>
      <c r="T242" s="24" t="str">
        <f t="shared" ca="1" si="9"/>
        <v/>
      </c>
      <c r="U242" s="25" t="str">
        <f t="shared" ca="1" si="10"/>
        <v/>
      </c>
      <c r="V242" s="24" t="str">
        <f t="shared" si="11"/>
        <v/>
      </c>
      <c r="W242" s="25" t="str">
        <f>IF(V242="","",IF(V242&lt;=0,"Renovar",IF(V242&lt;=Listas!$T$3,"Próximo a renovar","Vigente")))</f>
        <v/>
      </c>
      <c r="X242" s="26"/>
    </row>
    <row r="243" spans="1:24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7"/>
      <c r="K243" s="26"/>
      <c r="L243" s="26"/>
      <c r="M243" s="26"/>
      <c r="N243" s="28"/>
      <c r="O243" s="29"/>
      <c r="P243" s="27"/>
      <c r="Q243" s="26"/>
      <c r="R243" s="26"/>
      <c r="S243" s="26"/>
      <c r="T243" s="24" t="str">
        <f t="shared" ca="1" si="9"/>
        <v/>
      </c>
      <c r="U243" s="25" t="str">
        <f t="shared" ca="1" si="10"/>
        <v/>
      </c>
      <c r="V243" s="24" t="str">
        <f t="shared" si="11"/>
        <v/>
      </c>
      <c r="W243" s="25" t="str">
        <f>IF(V243="","",IF(V243&lt;=0,"Renovar",IF(V243&lt;=Listas!$T$3,"Próximo a renovar","Vigente")))</f>
        <v/>
      </c>
      <c r="X243" s="26"/>
    </row>
    <row r="244" spans="1:24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7"/>
      <c r="K244" s="26"/>
      <c r="L244" s="26"/>
      <c r="M244" s="26"/>
      <c r="N244" s="28"/>
      <c r="O244" s="29"/>
      <c r="P244" s="27"/>
      <c r="Q244" s="26"/>
      <c r="R244" s="26"/>
      <c r="S244" s="26"/>
      <c r="T244" s="24" t="str">
        <f t="shared" ca="1" si="9"/>
        <v/>
      </c>
      <c r="U244" s="25" t="str">
        <f t="shared" ca="1" si="10"/>
        <v/>
      </c>
      <c r="V244" s="24" t="str">
        <f t="shared" si="11"/>
        <v/>
      </c>
      <c r="W244" s="25" t="str">
        <f>IF(V244="","",IF(V244&lt;=0,"Renovar",IF(V244&lt;=Listas!$T$3,"Próximo a renovar","Vigente")))</f>
        <v/>
      </c>
      <c r="X244" s="26"/>
    </row>
    <row r="245" spans="1:24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7"/>
      <c r="K245" s="26"/>
      <c r="L245" s="26"/>
      <c r="M245" s="26"/>
      <c r="N245" s="28"/>
      <c r="O245" s="29"/>
      <c r="P245" s="27"/>
      <c r="Q245" s="26"/>
      <c r="R245" s="26"/>
      <c r="S245" s="26"/>
      <c r="T245" s="24" t="str">
        <f t="shared" ca="1" si="9"/>
        <v/>
      </c>
      <c r="U245" s="25" t="str">
        <f t="shared" ca="1" si="10"/>
        <v/>
      </c>
      <c r="V245" s="24" t="str">
        <f t="shared" si="11"/>
        <v/>
      </c>
      <c r="W245" s="25" t="str">
        <f>IF(V245="","",IF(V245&lt;=0,"Renovar",IF(V245&lt;=Listas!$T$3,"Próximo a renovar","Vigente")))</f>
        <v/>
      </c>
      <c r="X245" s="26"/>
    </row>
    <row r="246" spans="1:24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7"/>
      <c r="K246" s="26"/>
      <c r="L246" s="26"/>
      <c r="M246" s="26"/>
      <c r="N246" s="28"/>
      <c r="O246" s="29"/>
      <c r="P246" s="27"/>
      <c r="Q246" s="26"/>
      <c r="R246" s="26"/>
      <c r="S246" s="26"/>
      <c r="T246" s="24" t="str">
        <f t="shared" ca="1" si="9"/>
        <v/>
      </c>
      <c r="U246" s="25" t="str">
        <f t="shared" ca="1" si="10"/>
        <v/>
      </c>
      <c r="V246" s="24" t="str">
        <f t="shared" si="11"/>
        <v/>
      </c>
      <c r="W246" s="25" t="str">
        <f>IF(V246="","",IF(V246&lt;=0,"Renovar",IF(V246&lt;=Listas!$T$3,"Próximo a renovar","Vigente")))</f>
        <v/>
      </c>
      <c r="X246" s="26"/>
    </row>
    <row r="247" spans="1:24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7"/>
      <c r="K247" s="26"/>
      <c r="L247" s="26"/>
      <c r="M247" s="26"/>
      <c r="N247" s="28"/>
      <c r="O247" s="29"/>
      <c r="P247" s="27"/>
      <c r="Q247" s="26"/>
      <c r="R247" s="26"/>
      <c r="S247" s="26"/>
      <c r="T247" s="24" t="str">
        <f t="shared" ca="1" si="9"/>
        <v/>
      </c>
      <c r="U247" s="25" t="str">
        <f t="shared" ca="1" si="10"/>
        <v/>
      </c>
      <c r="V247" s="24" t="str">
        <f t="shared" si="11"/>
        <v/>
      </c>
      <c r="W247" s="25" t="str">
        <f>IF(V247="","",IF(V247&lt;=0,"Renovar",IF(V247&lt;=Listas!$T$3,"Próximo a renovar","Vigente")))</f>
        <v/>
      </c>
      <c r="X247" s="26"/>
    </row>
    <row r="248" spans="1:24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7"/>
      <c r="K248" s="26"/>
      <c r="L248" s="26"/>
      <c r="M248" s="26"/>
      <c r="N248" s="28"/>
      <c r="O248" s="29"/>
      <c r="P248" s="27"/>
      <c r="Q248" s="26"/>
      <c r="R248" s="26"/>
      <c r="S248" s="26"/>
      <c r="T248" s="24" t="str">
        <f t="shared" ca="1" si="9"/>
        <v/>
      </c>
      <c r="U248" s="25" t="str">
        <f t="shared" ca="1" si="10"/>
        <v/>
      </c>
      <c r="V248" s="24" t="str">
        <f t="shared" si="11"/>
        <v/>
      </c>
      <c r="W248" s="25" t="str">
        <f>IF(V248="","",IF(V248&lt;=0,"Renovar",IF(V248&lt;=Listas!$T$3,"Próximo a renovar","Vigente")))</f>
        <v/>
      </c>
      <c r="X248" s="26"/>
    </row>
    <row r="249" spans="1:24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7"/>
      <c r="K249" s="26"/>
      <c r="L249" s="26"/>
      <c r="M249" s="26"/>
      <c r="N249" s="28"/>
      <c r="O249" s="29"/>
      <c r="P249" s="27"/>
      <c r="Q249" s="26"/>
      <c r="R249" s="26"/>
      <c r="S249" s="26"/>
      <c r="T249" s="24" t="str">
        <f t="shared" ca="1" si="9"/>
        <v/>
      </c>
      <c r="U249" s="25" t="str">
        <f t="shared" ca="1" si="10"/>
        <v/>
      </c>
      <c r="V249" s="24" t="str">
        <f t="shared" si="11"/>
        <v/>
      </c>
      <c r="W249" s="25" t="str">
        <f>IF(V249="","",IF(V249&lt;=0,"Renovar",IF(V249&lt;=Listas!$T$3,"Próximo a renovar","Vigente")))</f>
        <v/>
      </c>
      <c r="X249" s="26"/>
    </row>
    <row r="250" spans="1:24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7"/>
      <c r="K250" s="26"/>
      <c r="L250" s="26"/>
      <c r="M250" s="26"/>
      <c r="N250" s="28"/>
      <c r="O250" s="29"/>
      <c r="P250" s="27"/>
      <c r="Q250" s="26"/>
      <c r="R250" s="26"/>
      <c r="S250" s="26"/>
      <c r="T250" s="24" t="str">
        <f t="shared" ca="1" si="9"/>
        <v/>
      </c>
      <c r="U250" s="25" t="str">
        <f t="shared" ca="1" si="10"/>
        <v/>
      </c>
      <c r="V250" s="24" t="str">
        <f t="shared" si="11"/>
        <v/>
      </c>
      <c r="W250" s="25" t="str">
        <f>IF(V250="","",IF(V250&lt;=0,"Renovar",IF(V250&lt;=Listas!$T$3,"Próximo a renovar","Vigente")))</f>
        <v/>
      </c>
      <c r="X250" s="26"/>
    </row>
    <row r="251" spans="1:24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7"/>
      <c r="K251" s="26"/>
      <c r="L251" s="26"/>
      <c r="M251" s="26"/>
      <c r="N251" s="28"/>
      <c r="O251" s="29"/>
      <c r="P251" s="27"/>
      <c r="Q251" s="26"/>
      <c r="R251" s="26"/>
      <c r="S251" s="26"/>
      <c r="T251" s="24" t="str">
        <f t="shared" ca="1" si="9"/>
        <v/>
      </c>
      <c r="U251" s="25" t="str">
        <f t="shared" ca="1" si="10"/>
        <v/>
      </c>
      <c r="V251" s="24" t="str">
        <f t="shared" si="11"/>
        <v/>
      </c>
      <c r="W251" s="25" t="str">
        <f>IF(V251="","",IF(V251&lt;=0,"Renovar",IF(V251&lt;=Listas!$T$3,"Próximo a renovar","Vigente")))</f>
        <v/>
      </c>
      <c r="X251" s="26"/>
    </row>
    <row r="252" spans="1:24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7"/>
      <c r="K252" s="26"/>
      <c r="L252" s="26"/>
      <c r="M252" s="26"/>
      <c r="N252" s="28"/>
      <c r="O252" s="29"/>
      <c r="P252" s="27"/>
      <c r="Q252" s="26"/>
      <c r="R252" s="26"/>
      <c r="S252" s="26"/>
      <c r="T252" s="24" t="str">
        <f t="shared" ca="1" si="9"/>
        <v/>
      </c>
      <c r="U252" s="25" t="str">
        <f t="shared" ca="1" si="10"/>
        <v/>
      </c>
      <c r="V252" s="24" t="str">
        <f t="shared" si="11"/>
        <v/>
      </c>
      <c r="W252" s="25" t="str">
        <f>IF(V252="","",IF(V252&lt;=0,"Renovar",IF(V252&lt;=Listas!$T$3,"Próximo a renovar","Vigente")))</f>
        <v/>
      </c>
      <c r="X252" s="26"/>
    </row>
    <row r="253" spans="1:24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7"/>
      <c r="K253" s="26"/>
      <c r="L253" s="26"/>
      <c r="M253" s="26"/>
      <c r="N253" s="28"/>
      <c r="O253" s="29"/>
      <c r="P253" s="27"/>
      <c r="Q253" s="26"/>
      <c r="R253" s="26"/>
      <c r="S253" s="26"/>
      <c r="T253" s="24" t="str">
        <f t="shared" ca="1" si="9"/>
        <v/>
      </c>
      <c r="U253" s="25" t="str">
        <f t="shared" ca="1" si="10"/>
        <v/>
      </c>
      <c r="V253" s="24" t="str">
        <f t="shared" si="11"/>
        <v/>
      </c>
      <c r="W253" s="25" t="str">
        <f>IF(V253="","",IF(V253&lt;=0,"Renovar",IF(V253&lt;=Listas!$T$3,"Próximo a renovar","Vigente")))</f>
        <v/>
      </c>
      <c r="X253" s="26"/>
    </row>
    <row r="254" spans="1:24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7"/>
      <c r="K254" s="26"/>
      <c r="L254" s="26"/>
      <c r="M254" s="26"/>
      <c r="N254" s="28"/>
      <c r="O254" s="29"/>
      <c r="P254" s="27"/>
      <c r="Q254" s="26"/>
      <c r="R254" s="26"/>
      <c r="S254" s="26"/>
      <c r="T254" s="24" t="str">
        <f t="shared" ca="1" si="9"/>
        <v/>
      </c>
      <c r="U254" s="25" t="str">
        <f t="shared" ca="1" si="10"/>
        <v/>
      </c>
      <c r="V254" s="24" t="str">
        <f t="shared" si="11"/>
        <v/>
      </c>
      <c r="W254" s="25" t="str">
        <f>IF(V254="","",IF(V254&lt;=0,"Renovar",IF(V254&lt;=Listas!$T$3,"Próximo a renovar","Vigente")))</f>
        <v/>
      </c>
      <c r="X254" s="26"/>
    </row>
    <row r="255" spans="1:24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7"/>
      <c r="K255" s="26"/>
      <c r="L255" s="26"/>
      <c r="M255" s="26"/>
      <c r="N255" s="28"/>
      <c r="O255" s="29"/>
      <c r="P255" s="27"/>
      <c r="Q255" s="26"/>
      <c r="R255" s="26"/>
      <c r="S255" s="26"/>
      <c r="T255" s="24" t="str">
        <f t="shared" ca="1" si="9"/>
        <v/>
      </c>
      <c r="U255" s="25" t="str">
        <f t="shared" ca="1" si="10"/>
        <v/>
      </c>
      <c r="V255" s="24" t="str">
        <f t="shared" si="11"/>
        <v/>
      </c>
      <c r="W255" s="25" t="str">
        <f>IF(V255="","",IF(V255&lt;=0,"Renovar",IF(V255&lt;=Listas!$T$3,"Próximo a renovar","Vigente")))</f>
        <v/>
      </c>
      <c r="X255" s="26"/>
    </row>
    <row r="256" spans="1:24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7"/>
      <c r="K256" s="26"/>
      <c r="L256" s="26"/>
      <c r="M256" s="26"/>
      <c r="N256" s="28"/>
      <c r="O256" s="29"/>
      <c r="P256" s="27"/>
      <c r="Q256" s="26"/>
      <c r="R256" s="26"/>
      <c r="S256" s="26"/>
      <c r="T256" s="24" t="str">
        <f t="shared" ca="1" si="9"/>
        <v/>
      </c>
      <c r="U256" s="25" t="str">
        <f t="shared" ca="1" si="10"/>
        <v/>
      </c>
      <c r="V256" s="24" t="str">
        <f t="shared" si="11"/>
        <v/>
      </c>
      <c r="W256" s="25" t="str">
        <f>IF(V256="","",IF(V256&lt;=0,"Renovar",IF(V256&lt;=Listas!$T$3,"Próximo a renovar","Vigente")))</f>
        <v/>
      </c>
      <c r="X256" s="26"/>
    </row>
    <row r="257" spans="1:24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7"/>
      <c r="K257" s="26"/>
      <c r="L257" s="26"/>
      <c r="M257" s="26"/>
      <c r="N257" s="28"/>
      <c r="O257" s="29"/>
      <c r="P257" s="27"/>
      <c r="Q257" s="26"/>
      <c r="R257" s="26"/>
      <c r="S257" s="26"/>
      <c r="T257" s="24" t="str">
        <f t="shared" ca="1" si="9"/>
        <v/>
      </c>
      <c r="U257" s="25" t="str">
        <f t="shared" ca="1" si="10"/>
        <v/>
      </c>
      <c r="V257" s="24" t="str">
        <f t="shared" si="11"/>
        <v/>
      </c>
      <c r="W257" s="25" t="str">
        <f>IF(V257="","",IF(V257&lt;=0,"Renovar",IF(V257&lt;=Listas!$T$3,"Próximo a renovar","Vigente")))</f>
        <v/>
      </c>
      <c r="X257" s="26"/>
    </row>
    <row r="258" spans="1:24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7"/>
      <c r="K258" s="26"/>
      <c r="L258" s="26"/>
      <c r="M258" s="26"/>
      <c r="N258" s="28"/>
      <c r="O258" s="29"/>
      <c r="P258" s="27"/>
      <c r="Q258" s="26"/>
      <c r="R258" s="26"/>
      <c r="S258" s="26"/>
      <c r="T258" s="24" t="str">
        <f t="shared" ca="1" si="9"/>
        <v/>
      </c>
      <c r="U258" s="25" t="str">
        <f t="shared" ca="1" si="10"/>
        <v/>
      </c>
      <c r="V258" s="24" t="str">
        <f t="shared" si="11"/>
        <v/>
      </c>
      <c r="W258" s="25" t="str">
        <f>IF(V258="","",IF(V258&lt;=0,"Renovar",IF(V258&lt;=Listas!$T$3,"Próximo a renovar","Vigente")))</f>
        <v/>
      </c>
      <c r="X258" s="26"/>
    </row>
    <row r="259" spans="1:24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7"/>
      <c r="K259" s="26"/>
      <c r="L259" s="26"/>
      <c r="M259" s="26"/>
      <c r="N259" s="28"/>
      <c r="O259" s="29"/>
      <c r="P259" s="27"/>
      <c r="Q259" s="26"/>
      <c r="R259" s="26"/>
      <c r="S259" s="26"/>
      <c r="T259" s="24" t="str">
        <f t="shared" ca="1" si="9"/>
        <v/>
      </c>
      <c r="U259" s="25" t="str">
        <f t="shared" ca="1" si="10"/>
        <v/>
      </c>
      <c r="V259" s="24" t="str">
        <f t="shared" si="11"/>
        <v/>
      </c>
      <c r="W259" s="25" t="str">
        <f>IF(V259="","",IF(V259&lt;=0,"Renovar",IF(V259&lt;=Listas!$T$3,"Próximo a renovar","Vigente")))</f>
        <v/>
      </c>
      <c r="X259" s="26"/>
    </row>
    <row r="260" spans="1:24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7"/>
      <c r="K260" s="26"/>
      <c r="L260" s="26"/>
      <c r="M260" s="26"/>
      <c r="N260" s="28"/>
      <c r="O260" s="29"/>
      <c r="P260" s="27"/>
      <c r="Q260" s="26"/>
      <c r="R260" s="26"/>
      <c r="S260" s="26"/>
      <c r="T260" s="24" t="str">
        <f t="shared" ca="1" si="9"/>
        <v/>
      </c>
      <c r="U260" s="25" t="str">
        <f t="shared" ca="1" si="10"/>
        <v/>
      </c>
      <c r="V260" s="24" t="str">
        <f t="shared" si="11"/>
        <v/>
      </c>
      <c r="W260" s="25" t="str">
        <f>IF(V260="","",IF(V260&lt;=0,"Renovar",IF(V260&lt;=Listas!$T$3,"Próximo a renovar","Vigente")))</f>
        <v/>
      </c>
      <c r="X260" s="26"/>
    </row>
    <row r="261" spans="1:24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7"/>
      <c r="K261" s="26"/>
      <c r="L261" s="26"/>
      <c r="M261" s="26"/>
      <c r="N261" s="28"/>
      <c r="O261" s="29"/>
      <c r="P261" s="27"/>
      <c r="Q261" s="26"/>
      <c r="R261" s="26"/>
      <c r="S261" s="26"/>
      <c r="T261" s="24" t="str">
        <f t="shared" ref="T261:T304" ca="1" si="12">IF(J261="","",ROUND((TODAY()-J261)/365.25,1))</f>
        <v/>
      </c>
      <c r="U261" s="25" t="str">
        <f t="shared" ref="U261:U304" ca="1" si="13">IF(P261="","",IF(P261&gt;=TODAY(),"Vigente","Vencida"))</f>
        <v/>
      </c>
      <c r="V261" s="24" t="str">
        <f t="shared" ref="V261:V304" si="14">IF(OR(J261="",O261=""),"",ROUND(O261-T261,1))</f>
        <v/>
      </c>
      <c r="W261" s="25" t="str">
        <f>IF(V261="","",IF(V261&lt;=0,"Renovar",IF(V261&lt;=Listas!$T$3,"Próximo a renovar","Vigente")))</f>
        <v/>
      </c>
      <c r="X261" s="26"/>
    </row>
    <row r="262" spans="1:24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7"/>
      <c r="K262" s="26"/>
      <c r="L262" s="26"/>
      <c r="M262" s="26"/>
      <c r="N262" s="28"/>
      <c r="O262" s="29"/>
      <c r="P262" s="27"/>
      <c r="Q262" s="26"/>
      <c r="R262" s="26"/>
      <c r="S262" s="26"/>
      <c r="T262" s="24" t="str">
        <f t="shared" ca="1" si="12"/>
        <v/>
      </c>
      <c r="U262" s="25" t="str">
        <f t="shared" ca="1" si="13"/>
        <v/>
      </c>
      <c r="V262" s="24" t="str">
        <f t="shared" si="14"/>
        <v/>
      </c>
      <c r="W262" s="25" t="str">
        <f>IF(V262="","",IF(V262&lt;=0,"Renovar",IF(V262&lt;=Listas!$T$3,"Próximo a renovar","Vigente")))</f>
        <v/>
      </c>
      <c r="X262" s="26"/>
    </row>
    <row r="263" spans="1:24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7"/>
      <c r="K263" s="26"/>
      <c r="L263" s="26"/>
      <c r="M263" s="26"/>
      <c r="N263" s="28"/>
      <c r="O263" s="29"/>
      <c r="P263" s="27"/>
      <c r="Q263" s="26"/>
      <c r="R263" s="26"/>
      <c r="S263" s="26"/>
      <c r="T263" s="24" t="str">
        <f t="shared" ca="1" si="12"/>
        <v/>
      </c>
      <c r="U263" s="25" t="str">
        <f t="shared" ca="1" si="13"/>
        <v/>
      </c>
      <c r="V263" s="24" t="str">
        <f t="shared" si="14"/>
        <v/>
      </c>
      <c r="W263" s="25" t="str">
        <f>IF(V263="","",IF(V263&lt;=0,"Renovar",IF(V263&lt;=Listas!$T$3,"Próximo a renovar","Vigente")))</f>
        <v/>
      </c>
      <c r="X263" s="26"/>
    </row>
    <row r="264" spans="1:24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7"/>
      <c r="K264" s="26"/>
      <c r="L264" s="26"/>
      <c r="M264" s="26"/>
      <c r="N264" s="28"/>
      <c r="O264" s="29"/>
      <c r="P264" s="27"/>
      <c r="Q264" s="26"/>
      <c r="R264" s="26"/>
      <c r="S264" s="26"/>
      <c r="T264" s="24" t="str">
        <f t="shared" ca="1" si="12"/>
        <v/>
      </c>
      <c r="U264" s="25" t="str">
        <f t="shared" ca="1" si="13"/>
        <v/>
      </c>
      <c r="V264" s="24" t="str">
        <f t="shared" si="14"/>
        <v/>
      </c>
      <c r="W264" s="25" t="str">
        <f>IF(V264="","",IF(V264&lt;=0,"Renovar",IF(V264&lt;=Listas!$T$3,"Próximo a renovar","Vigente")))</f>
        <v/>
      </c>
      <c r="X264" s="26"/>
    </row>
    <row r="265" spans="1:24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7"/>
      <c r="K265" s="26"/>
      <c r="L265" s="26"/>
      <c r="M265" s="26"/>
      <c r="N265" s="28"/>
      <c r="O265" s="29"/>
      <c r="P265" s="27"/>
      <c r="Q265" s="26"/>
      <c r="R265" s="26"/>
      <c r="S265" s="26"/>
      <c r="T265" s="24" t="str">
        <f t="shared" ca="1" si="12"/>
        <v/>
      </c>
      <c r="U265" s="25" t="str">
        <f t="shared" ca="1" si="13"/>
        <v/>
      </c>
      <c r="V265" s="24" t="str">
        <f t="shared" si="14"/>
        <v/>
      </c>
      <c r="W265" s="25" t="str">
        <f>IF(V265="","",IF(V265&lt;=0,"Renovar",IF(V265&lt;=Listas!$T$3,"Próximo a renovar","Vigente")))</f>
        <v/>
      </c>
      <c r="X265" s="26"/>
    </row>
    <row r="266" spans="1:24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7"/>
      <c r="K266" s="26"/>
      <c r="L266" s="26"/>
      <c r="M266" s="26"/>
      <c r="N266" s="28"/>
      <c r="O266" s="29"/>
      <c r="P266" s="27"/>
      <c r="Q266" s="26"/>
      <c r="R266" s="26"/>
      <c r="S266" s="26"/>
      <c r="T266" s="24" t="str">
        <f t="shared" ca="1" si="12"/>
        <v/>
      </c>
      <c r="U266" s="25" t="str">
        <f t="shared" ca="1" si="13"/>
        <v/>
      </c>
      <c r="V266" s="24" t="str">
        <f t="shared" si="14"/>
        <v/>
      </c>
      <c r="W266" s="25" t="str">
        <f>IF(V266="","",IF(V266&lt;=0,"Renovar",IF(V266&lt;=Listas!$T$3,"Próximo a renovar","Vigente")))</f>
        <v/>
      </c>
      <c r="X266" s="26"/>
    </row>
    <row r="267" spans="1:24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7"/>
      <c r="K267" s="26"/>
      <c r="L267" s="26"/>
      <c r="M267" s="26"/>
      <c r="N267" s="28"/>
      <c r="O267" s="29"/>
      <c r="P267" s="27"/>
      <c r="Q267" s="26"/>
      <c r="R267" s="26"/>
      <c r="S267" s="26"/>
      <c r="T267" s="24" t="str">
        <f t="shared" ca="1" si="12"/>
        <v/>
      </c>
      <c r="U267" s="25" t="str">
        <f t="shared" ca="1" si="13"/>
        <v/>
      </c>
      <c r="V267" s="24" t="str">
        <f t="shared" si="14"/>
        <v/>
      </c>
      <c r="W267" s="25" t="str">
        <f>IF(V267="","",IF(V267&lt;=0,"Renovar",IF(V267&lt;=Listas!$T$3,"Próximo a renovar","Vigente")))</f>
        <v/>
      </c>
      <c r="X267" s="26"/>
    </row>
    <row r="268" spans="1:24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7"/>
      <c r="K268" s="26"/>
      <c r="L268" s="26"/>
      <c r="M268" s="26"/>
      <c r="N268" s="28"/>
      <c r="O268" s="29"/>
      <c r="P268" s="27"/>
      <c r="Q268" s="26"/>
      <c r="R268" s="26"/>
      <c r="S268" s="26"/>
      <c r="T268" s="24" t="str">
        <f t="shared" ca="1" si="12"/>
        <v/>
      </c>
      <c r="U268" s="25" t="str">
        <f t="shared" ca="1" si="13"/>
        <v/>
      </c>
      <c r="V268" s="24" t="str">
        <f t="shared" si="14"/>
        <v/>
      </c>
      <c r="W268" s="25" t="str">
        <f>IF(V268="","",IF(V268&lt;=0,"Renovar",IF(V268&lt;=Listas!$T$3,"Próximo a renovar","Vigente")))</f>
        <v/>
      </c>
      <c r="X268" s="26"/>
    </row>
    <row r="269" spans="1:24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7"/>
      <c r="K269" s="26"/>
      <c r="L269" s="26"/>
      <c r="M269" s="26"/>
      <c r="N269" s="28"/>
      <c r="O269" s="29"/>
      <c r="P269" s="27"/>
      <c r="Q269" s="26"/>
      <c r="R269" s="26"/>
      <c r="S269" s="26"/>
      <c r="T269" s="24" t="str">
        <f t="shared" ca="1" si="12"/>
        <v/>
      </c>
      <c r="U269" s="25" t="str">
        <f t="shared" ca="1" si="13"/>
        <v/>
      </c>
      <c r="V269" s="24" t="str">
        <f t="shared" si="14"/>
        <v/>
      </c>
      <c r="W269" s="25" t="str">
        <f>IF(V269="","",IF(V269&lt;=0,"Renovar",IF(V269&lt;=Listas!$T$3,"Próximo a renovar","Vigente")))</f>
        <v/>
      </c>
      <c r="X269" s="26"/>
    </row>
    <row r="270" spans="1:24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7"/>
      <c r="K270" s="26"/>
      <c r="L270" s="26"/>
      <c r="M270" s="26"/>
      <c r="N270" s="28"/>
      <c r="O270" s="29"/>
      <c r="P270" s="27"/>
      <c r="Q270" s="26"/>
      <c r="R270" s="26"/>
      <c r="S270" s="26"/>
      <c r="T270" s="24" t="str">
        <f t="shared" ca="1" si="12"/>
        <v/>
      </c>
      <c r="U270" s="25" t="str">
        <f t="shared" ca="1" si="13"/>
        <v/>
      </c>
      <c r="V270" s="24" t="str">
        <f t="shared" si="14"/>
        <v/>
      </c>
      <c r="W270" s="25" t="str">
        <f>IF(V270="","",IF(V270&lt;=0,"Renovar",IF(V270&lt;=Listas!$T$3,"Próximo a renovar","Vigente")))</f>
        <v/>
      </c>
      <c r="X270" s="26"/>
    </row>
    <row r="271" spans="1:24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7"/>
      <c r="K271" s="26"/>
      <c r="L271" s="26"/>
      <c r="M271" s="26"/>
      <c r="N271" s="28"/>
      <c r="O271" s="29"/>
      <c r="P271" s="27"/>
      <c r="Q271" s="26"/>
      <c r="R271" s="26"/>
      <c r="S271" s="26"/>
      <c r="T271" s="24" t="str">
        <f t="shared" ca="1" si="12"/>
        <v/>
      </c>
      <c r="U271" s="25" t="str">
        <f t="shared" ca="1" si="13"/>
        <v/>
      </c>
      <c r="V271" s="24" t="str">
        <f t="shared" si="14"/>
        <v/>
      </c>
      <c r="W271" s="25" t="str">
        <f>IF(V271="","",IF(V271&lt;=0,"Renovar",IF(V271&lt;=Listas!$T$3,"Próximo a renovar","Vigente")))</f>
        <v/>
      </c>
      <c r="X271" s="26"/>
    </row>
    <row r="272" spans="1:24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7"/>
      <c r="K272" s="26"/>
      <c r="L272" s="26"/>
      <c r="M272" s="26"/>
      <c r="N272" s="28"/>
      <c r="O272" s="29"/>
      <c r="P272" s="27"/>
      <c r="Q272" s="26"/>
      <c r="R272" s="26"/>
      <c r="S272" s="26"/>
      <c r="T272" s="24" t="str">
        <f t="shared" ca="1" si="12"/>
        <v/>
      </c>
      <c r="U272" s="25" t="str">
        <f t="shared" ca="1" si="13"/>
        <v/>
      </c>
      <c r="V272" s="24" t="str">
        <f t="shared" si="14"/>
        <v/>
      </c>
      <c r="W272" s="25" t="str">
        <f>IF(V272="","",IF(V272&lt;=0,"Renovar",IF(V272&lt;=Listas!$T$3,"Próximo a renovar","Vigente")))</f>
        <v/>
      </c>
      <c r="X272" s="26"/>
    </row>
    <row r="273" spans="1:24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7"/>
      <c r="K273" s="26"/>
      <c r="L273" s="26"/>
      <c r="M273" s="26"/>
      <c r="N273" s="28"/>
      <c r="O273" s="29"/>
      <c r="P273" s="27"/>
      <c r="Q273" s="26"/>
      <c r="R273" s="26"/>
      <c r="S273" s="26"/>
      <c r="T273" s="24" t="str">
        <f t="shared" ca="1" si="12"/>
        <v/>
      </c>
      <c r="U273" s="25" t="str">
        <f t="shared" ca="1" si="13"/>
        <v/>
      </c>
      <c r="V273" s="24" t="str">
        <f t="shared" si="14"/>
        <v/>
      </c>
      <c r="W273" s="25" t="str">
        <f>IF(V273="","",IF(V273&lt;=0,"Renovar",IF(V273&lt;=Listas!$T$3,"Próximo a renovar","Vigente")))</f>
        <v/>
      </c>
      <c r="X273" s="26"/>
    </row>
    <row r="274" spans="1:24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7"/>
      <c r="K274" s="26"/>
      <c r="L274" s="26"/>
      <c r="M274" s="26"/>
      <c r="N274" s="28"/>
      <c r="O274" s="29"/>
      <c r="P274" s="27"/>
      <c r="Q274" s="26"/>
      <c r="R274" s="26"/>
      <c r="S274" s="26"/>
      <c r="T274" s="24" t="str">
        <f t="shared" ca="1" si="12"/>
        <v/>
      </c>
      <c r="U274" s="25" t="str">
        <f t="shared" ca="1" si="13"/>
        <v/>
      </c>
      <c r="V274" s="24" t="str">
        <f t="shared" si="14"/>
        <v/>
      </c>
      <c r="W274" s="25" t="str">
        <f>IF(V274="","",IF(V274&lt;=0,"Renovar",IF(V274&lt;=Listas!$T$3,"Próximo a renovar","Vigente")))</f>
        <v/>
      </c>
      <c r="X274" s="26"/>
    </row>
    <row r="275" spans="1:24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7"/>
      <c r="K275" s="26"/>
      <c r="L275" s="26"/>
      <c r="M275" s="26"/>
      <c r="N275" s="28"/>
      <c r="O275" s="29"/>
      <c r="P275" s="27"/>
      <c r="Q275" s="26"/>
      <c r="R275" s="26"/>
      <c r="S275" s="26"/>
      <c r="T275" s="24" t="str">
        <f t="shared" ca="1" si="12"/>
        <v/>
      </c>
      <c r="U275" s="25" t="str">
        <f t="shared" ca="1" si="13"/>
        <v/>
      </c>
      <c r="V275" s="24" t="str">
        <f t="shared" si="14"/>
        <v/>
      </c>
      <c r="W275" s="25" t="str">
        <f>IF(V275="","",IF(V275&lt;=0,"Renovar",IF(V275&lt;=Listas!$T$3,"Próximo a renovar","Vigente")))</f>
        <v/>
      </c>
      <c r="X275" s="26"/>
    </row>
    <row r="276" spans="1:24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7"/>
      <c r="K276" s="26"/>
      <c r="L276" s="26"/>
      <c r="M276" s="26"/>
      <c r="N276" s="28"/>
      <c r="O276" s="29"/>
      <c r="P276" s="27"/>
      <c r="Q276" s="26"/>
      <c r="R276" s="26"/>
      <c r="S276" s="26"/>
      <c r="T276" s="24" t="str">
        <f t="shared" ca="1" si="12"/>
        <v/>
      </c>
      <c r="U276" s="25" t="str">
        <f t="shared" ca="1" si="13"/>
        <v/>
      </c>
      <c r="V276" s="24" t="str">
        <f t="shared" si="14"/>
        <v/>
      </c>
      <c r="W276" s="25" t="str">
        <f>IF(V276="","",IF(V276&lt;=0,"Renovar",IF(V276&lt;=Listas!$T$3,"Próximo a renovar","Vigente")))</f>
        <v/>
      </c>
      <c r="X276" s="26"/>
    </row>
    <row r="277" spans="1:24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7"/>
      <c r="K277" s="26"/>
      <c r="L277" s="26"/>
      <c r="M277" s="26"/>
      <c r="N277" s="28"/>
      <c r="O277" s="29"/>
      <c r="P277" s="27"/>
      <c r="Q277" s="26"/>
      <c r="R277" s="26"/>
      <c r="S277" s="26"/>
      <c r="T277" s="24" t="str">
        <f t="shared" ca="1" si="12"/>
        <v/>
      </c>
      <c r="U277" s="25" t="str">
        <f t="shared" ca="1" si="13"/>
        <v/>
      </c>
      <c r="V277" s="24" t="str">
        <f t="shared" si="14"/>
        <v/>
      </c>
      <c r="W277" s="25" t="str">
        <f>IF(V277="","",IF(V277&lt;=0,"Renovar",IF(V277&lt;=Listas!$T$3,"Próximo a renovar","Vigente")))</f>
        <v/>
      </c>
      <c r="X277" s="26"/>
    </row>
    <row r="278" spans="1:24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7"/>
      <c r="K278" s="26"/>
      <c r="L278" s="26"/>
      <c r="M278" s="26"/>
      <c r="N278" s="28"/>
      <c r="O278" s="29"/>
      <c r="P278" s="27"/>
      <c r="Q278" s="26"/>
      <c r="R278" s="26"/>
      <c r="S278" s="26"/>
      <c r="T278" s="24" t="str">
        <f t="shared" ca="1" si="12"/>
        <v/>
      </c>
      <c r="U278" s="25" t="str">
        <f t="shared" ca="1" si="13"/>
        <v/>
      </c>
      <c r="V278" s="24" t="str">
        <f t="shared" si="14"/>
        <v/>
      </c>
      <c r="W278" s="25" t="str">
        <f>IF(V278="","",IF(V278&lt;=0,"Renovar",IF(V278&lt;=Listas!$T$3,"Próximo a renovar","Vigente")))</f>
        <v/>
      </c>
      <c r="X278" s="26"/>
    </row>
    <row r="279" spans="1:24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7"/>
      <c r="K279" s="26"/>
      <c r="L279" s="26"/>
      <c r="M279" s="26"/>
      <c r="N279" s="28"/>
      <c r="O279" s="29"/>
      <c r="P279" s="27"/>
      <c r="Q279" s="26"/>
      <c r="R279" s="26"/>
      <c r="S279" s="26"/>
      <c r="T279" s="24" t="str">
        <f t="shared" ca="1" si="12"/>
        <v/>
      </c>
      <c r="U279" s="25" t="str">
        <f t="shared" ca="1" si="13"/>
        <v/>
      </c>
      <c r="V279" s="24" t="str">
        <f t="shared" si="14"/>
        <v/>
      </c>
      <c r="W279" s="25" t="str">
        <f>IF(V279="","",IF(V279&lt;=0,"Renovar",IF(V279&lt;=Listas!$T$3,"Próximo a renovar","Vigente")))</f>
        <v/>
      </c>
      <c r="X279" s="26"/>
    </row>
    <row r="280" spans="1:24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7"/>
      <c r="K280" s="26"/>
      <c r="L280" s="26"/>
      <c r="M280" s="26"/>
      <c r="N280" s="28"/>
      <c r="O280" s="29"/>
      <c r="P280" s="27"/>
      <c r="Q280" s="26"/>
      <c r="R280" s="26"/>
      <c r="S280" s="26"/>
      <c r="T280" s="24" t="str">
        <f t="shared" ca="1" si="12"/>
        <v/>
      </c>
      <c r="U280" s="25" t="str">
        <f t="shared" ca="1" si="13"/>
        <v/>
      </c>
      <c r="V280" s="24" t="str">
        <f t="shared" si="14"/>
        <v/>
      </c>
      <c r="W280" s="25" t="str">
        <f>IF(V280="","",IF(V280&lt;=0,"Renovar",IF(V280&lt;=Listas!$T$3,"Próximo a renovar","Vigente")))</f>
        <v/>
      </c>
      <c r="X280" s="26"/>
    </row>
    <row r="281" spans="1:24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7"/>
      <c r="K281" s="26"/>
      <c r="L281" s="26"/>
      <c r="M281" s="26"/>
      <c r="N281" s="28"/>
      <c r="O281" s="29"/>
      <c r="P281" s="27"/>
      <c r="Q281" s="26"/>
      <c r="R281" s="26"/>
      <c r="S281" s="26"/>
      <c r="T281" s="24" t="str">
        <f t="shared" ca="1" si="12"/>
        <v/>
      </c>
      <c r="U281" s="25" t="str">
        <f t="shared" ca="1" si="13"/>
        <v/>
      </c>
      <c r="V281" s="24" t="str">
        <f t="shared" si="14"/>
        <v/>
      </c>
      <c r="W281" s="25" t="str">
        <f>IF(V281="","",IF(V281&lt;=0,"Renovar",IF(V281&lt;=Listas!$T$3,"Próximo a renovar","Vigente")))</f>
        <v/>
      </c>
      <c r="X281" s="26"/>
    </row>
    <row r="282" spans="1:24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7"/>
      <c r="K282" s="26"/>
      <c r="L282" s="26"/>
      <c r="M282" s="26"/>
      <c r="N282" s="28"/>
      <c r="O282" s="29"/>
      <c r="P282" s="27"/>
      <c r="Q282" s="26"/>
      <c r="R282" s="26"/>
      <c r="S282" s="26"/>
      <c r="T282" s="24" t="str">
        <f t="shared" ca="1" si="12"/>
        <v/>
      </c>
      <c r="U282" s="25" t="str">
        <f t="shared" ca="1" si="13"/>
        <v/>
      </c>
      <c r="V282" s="24" t="str">
        <f t="shared" si="14"/>
        <v/>
      </c>
      <c r="W282" s="25" t="str">
        <f>IF(V282="","",IF(V282&lt;=0,"Renovar",IF(V282&lt;=Listas!$T$3,"Próximo a renovar","Vigente")))</f>
        <v/>
      </c>
      <c r="X282" s="26"/>
    </row>
    <row r="283" spans="1:24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7"/>
      <c r="K283" s="26"/>
      <c r="L283" s="26"/>
      <c r="M283" s="26"/>
      <c r="N283" s="28"/>
      <c r="O283" s="29"/>
      <c r="P283" s="27"/>
      <c r="Q283" s="26"/>
      <c r="R283" s="26"/>
      <c r="S283" s="26"/>
      <c r="T283" s="24" t="str">
        <f t="shared" ca="1" si="12"/>
        <v/>
      </c>
      <c r="U283" s="25" t="str">
        <f t="shared" ca="1" si="13"/>
        <v/>
      </c>
      <c r="V283" s="24" t="str">
        <f t="shared" si="14"/>
        <v/>
      </c>
      <c r="W283" s="25" t="str">
        <f>IF(V283="","",IF(V283&lt;=0,"Renovar",IF(V283&lt;=Listas!$T$3,"Próximo a renovar","Vigente")))</f>
        <v/>
      </c>
      <c r="X283" s="26"/>
    </row>
    <row r="284" spans="1:24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7"/>
      <c r="K284" s="26"/>
      <c r="L284" s="26"/>
      <c r="M284" s="26"/>
      <c r="N284" s="28"/>
      <c r="O284" s="29"/>
      <c r="P284" s="27"/>
      <c r="Q284" s="26"/>
      <c r="R284" s="26"/>
      <c r="S284" s="26"/>
      <c r="T284" s="24" t="str">
        <f t="shared" ca="1" si="12"/>
        <v/>
      </c>
      <c r="U284" s="25" t="str">
        <f t="shared" ca="1" si="13"/>
        <v/>
      </c>
      <c r="V284" s="24" t="str">
        <f t="shared" si="14"/>
        <v/>
      </c>
      <c r="W284" s="25" t="str">
        <f>IF(V284="","",IF(V284&lt;=0,"Renovar",IF(V284&lt;=Listas!$T$3,"Próximo a renovar","Vigente")))</f>
        <v/>
      </c>
      <c r="X284" s="26"/>
    </row>
    <row r="285" spans="1:24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7"/>
      <c r="K285" s="26"/>
      <c r="L285" s="26"/>
      <c r="M285" s="26"/>
      <c r="N285" s="28"/>
      <c r="O285" s="29"/>
      <c r="P285" s="27"/>
      <c r="Q285" s="26"/>
      <c r="R285" s="26"/>
      <c r="S285" s="26"/>
      <c r="T285" s="24" t="str">
        <f t="shared" ca="1" si="12"/>
        <v/>
      </c>
      <c r="U285" s="25" t="str">
        <f t="shared" ca="1" si="13"/>
        <v/>
      </c>
      <c r="V285" s="24" t="str">
        <f t="shared" si="14"/>
        <v/>
      </c>
      <c r="W285" s="25" t="str">
        <f>IF(V285="","",IF(V285&lt;=0,"Renovar",IF(V285&lt;=Listas!$T$3,"Próximo a renovar","Vigente")))</f>
        <v/>
      </c>
      <c r="X285" s="26"/>
    </row>
    <row r="286" spans="1:24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7"/>
      <c r="K286" s="26"/>
      <c r="L286" s="26"/>
      <c r="M286" s="26"/>
      <c r="N286" s="28"/>
      <c r="O286" s="29"/>
      <c r="P286" s="27"/>
      <c r="Q286" s="26"/>
      <c r="R286" s="26"/>
      <c r="S286" s="26"/>
      <c r="T286" s="24" t="str">
        <f t="shared" ca="1" si="12"/>
        <v/>
      </c>
      <c r="U286" s="25" t="str">
        <f t="shared" ca="1" si="13"/>
        <v/>
      </c>
      <c r="V286" s="24" t="str">
        <f t="shared" si="14"/>
        <v/>
      </c>
      <c r="W286" s="25" t="str">
        <f>IF(V286="","",IF(V286&lt;=0,"Renovar",IF(V286&lt;=Listas!$T$3,"Próximo a renovar","Vigente")))</f>
        <v/>
      </c>
      <c r="X286" s="26"/>
    </row>
    <row r="287" spans="1:24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7"/>
      <c r="K287" s="26"/>
      <c r="L287" s="26"/>
      <c r="M287" s="26"/>
      <c r="N287" s="28"/>
      <c r="O287" s="29"/>
      <c r="P287" s="27"/>
      <c r="Q287" s="26"/>
      <c r="R287" s="26"/>
      <c r="S287" s="26"/>
      <c r="T287" s="24" t="str">
        <f t="shared" ca="1" si="12"/>
        <v/>
      </c>
      <c r="U287" s="25" t="str">
        <f t="shared" ca="1" si="13"/>
        <v/>
      </c>
      <c r="V287" s="24" t="str">
        <f t="shared" si="14"/>
        <v/>
      </c>
      <c r="W287" s="25" t="str">
        <f>IF(V287="","",IF(V287&lt;=0,"Renovar",IF(V287&lt;=Listas!$T$3,"Próximo a renovar","Vigente")))</f>
        <v/>
      </c>
      <c r="X287" s="26"/>
    </row>
    <row r="288" spans="1:24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7"/>
      <c r="K288" s="26"/>
      <c r="L288" s="26"/>
      <c r="M288" s="26"/>
      <c r="N288" s="28"/>
      <c r="O288" s="29"/>
      <c r="P288" s="27"/>
      <c r="Q288" s="26"/>
      <c r="R288" s="26"/>
      <c r="S288" s="26"/>
      <c r="T288" s="24" t="str">
        <f t="shared" ca="1" si="12"/>
        <v/>
      </c>
      <c r="U288" s="25" t="str">
        <f t="shared" ca="1" si="13"/>
        <v/>
      </c>
      <c r="V288" s="24" t="str">
        <f t="shared" si="14"/>
        <v/>
      </c>
      <c r="W288" s="25" t="str">
        <f>IF(V288="","",IF(V288&lt;=0,"Renovar",IF(V288&lt;=Listas!$T$3,"Próximo a renovar","Vigente")))</f>
        <v/>
      </c>
      <c r="X288" s="26"/>
    </row>
    <row r="289" spans="1:24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7"/>
      <c r="K289" s="26"/>
      <c r="L289" s="26"/>
      <c r="M289" s="26"/>
      <c r="N289" s="28"/>
      <c r="O289" s="29"/>
      <c r="P289" s="27"/>
      <c r="Q289" s="26"/>
      <c r="R289" s="26"/>
      <c r="S289" s="26"/>
      <c r="T289" s="24" t="str">
        <f t="shared" ca="1" si="12"/>
        <v/>
      </c>
      <c r="U289" s="25" t="str">
        <f t="shared" ca="1" si="13"/>
        <v/>
      </c>
      <c r="V289" s="24" t="str">
        <f t="shared" si="14"/>
        <v/>
      </c>
      <c r="W289" s="25" t="str">
        <f>IF(V289="","",IF(V289&lt;=0,"Renovar",IF(V289&lt;=Listas!$T$3,"Próximo a renovar","Vigente")))</f>
        <v/>
      </c>
      <c r="X289" s="26"/>
    </row>
    <row r="290" spans="1:24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7"/>
      <c r="K290" s="26"/>
      <c r="L290" s="26"/>
      <c r="M290" s="26"/>
      <c r="N290" s="28"/>
      <c r="O290" s="29"/>
      <c r="P290" s="27"/>
      <c r="Q290" s="26"/>
      <c r="R290" s="26"/>
      <c r="S290" s="26"/>
      <c r="T290" s="24" t="str">
        <f t="shared" ca="1" si="12"/>
        <v/>
      </c>
      <c r="U290" s="25" t="str">
        <f t="shared" ca="1" si="13"/>
        <v/>
      </c>
      <c r="V290" s="24" t="str">
        <f t="shared" si="14"/>
        <v/>
      </c>
      <c r="W290" s="25" t="str">
        <f>IF(V290="","",IF(V290&lt;=0,"Renovar",IF(V290&lt;=Listas!$T$3,"Próximo a renovar","Vigente")))</f>
        <v/>
      </c>
      <c r="X290" s="26"/>
    </row>
    <row r="291" spans="1:24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7"/>
      <c r="K291" s="26"/>
      <c r="L291" s="26"/>
      <c r="M291" s="26"/>
      <c r="N291" s="28"/>
      <c r="O291" s="29"/>
      <c r="P291" s="27"/>
      <c r="Q291" s="26"/>
      <c r="R291" s="26"/>
      <c r="S291" s="26"/>
      <c r="T291" s="24" t="str">
        <f t="shared" ca="1" si="12"/>
        <v/>
      </c>
      <c r="U291" s="25" t="str">
        <f t="shared" ca="1" si="13"/>
        <v/>
      </c>
      <c r="V291" s="24" t="str">
        <f t="shared" si="14"/>
        <v/>
      </c>
      <c r="W291" s="25" t="str">
        <f>IF(V291="","",IF(V291&lt;=0,"Renovar",IF(V291&lt;=Listas!$T$3,"Próximo a renovar","Vigente")))</f>
        <v/>
      </c>
      <c r="X291" s="26"/>
    </row>
    <row r="292" spans="1:24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7"/>
      <c r="K292" s="26"/>
      <c r="L292" s="26"/>
      <c r="M292" s="26"/>
      <c r="N292" s="28"/>
      <c r="O292" s="29"/>
      <c r="P292" s="27"/>
      <c r="Q292" s="26"/>
      <c r="R292" s="26"/>
      <c r="S292" s="26"/>
      <c r="T292" s="24" t="str">
        <f t="shared" ca="1" si="12"/>
        <v/>
      </c>
      <c r="U292" s="25" t="str">
        <f t="shared" ca="1" si="13"/>
        <v/>
      </c>
      <c r="V292" s="24" t="str">
        <f t="shared" si="14"/>
        <v/>
      </c>
      <c r="W292" s="25" t="str">
        <f>IF(V292="","",IF(V292&lt;=0,"Renovar",IF(V292&lt;=Listas!$T$3,"Próximo a renovar","Vigente")))</f>
        <v/>
      </c>
      <c r="X292" s="26"/>
    </row>
    <row r="293" spans="1:24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7"/>
      <c r="K293" s="26"/>
      <c r="L293" s="26"/>
      <c r="M293" s="26"/>
      <c r="N293" s="28"/>
      <c r="O293" s="29"/>
      <c r="P293" s="27"/>
      <c r="Q293" s="26"/>
      <c r="R293" s="26"/>
      <c r="S293" s="26"/>
      <c r="T293" s="24" t="str">
        <f t="shared" ca="1" si="12"/>
        <v/>
      </c>
      <c r="U293" s="25" t="str">
        <f t="shared" ca="1" si="13"/>
        <v/>
      </c>
      <c r="V293" s="24" t="str">
        <f t="shared" si="14"/>
        <v/>
      </c>
      <c r="W293" s="25" t="str">
        <f>IF(V293="","",IF(V293&lt;=0,"Renovar",IF(V293&lt;=Listas!$T$3,"Próximo a renovar","Vigente")))</f>
        <v/>
      </c>
      <c r="X293" s="26"/>
    </row>
    <row r="294" spans="1:24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7"/>
      <c r="K294" s="26"/>
      <c r="L294" s="26"/>
      <c r="M294" s="26"/>
      <c r="N294" s="28"/>
      <c r="O294" s="29"/>
      <c r="P294" s="27"/>
      <c r="Q294" s="26"/>
      <c r="R294" s="26"/>
      <c r="S294" s="26"/>
      <c r="T294" s="24" t="str">
        <f t="shared" ca="1" si="12"/>
        <v/>
      </c>
      <c r="U294" s="25" t="str">
        <f t="shared" ca="1" si="13"/>
        <v/>
      </c>
      <c r="V294" s="24" t="str">
        <f t="shared" si="14"/>
        <v/>
      </c>
      <c r="W294" s="25" t="str">
        <f>IF(V294="","",IF(V294&lt;=0,"Renovar",IF(V294&lt;=Listas!$T$3,"Próximo a renovar","Vigente")))</f>
        <v/>
      </c>
      <c r="X294" s="26"/>
    </row>
    <row r="295" spans="1:24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7"/>
      <c r="K295" s="26"/>
      <c r="L295" s="26"/>
      <c r="M295" s="26"/>
      <c r="N295" s="28"/>
      <c r="O295" s="29"/>
      <c r="P295" s="27"/>
      <c r="Q295" s="26"/>
      <c r="R295" s="26"/>
      <c r="S295" s="26"/>
      <c r="T295" s="24" t="str">
        <f t="shared" ca="1" si="12"/>
        <v/>
      </c>
      <c r="U295" s="25" t="str">
        <f t="shared" ca="1" si="13"/>
        <v/>
      </c>
      <c r="V295" s="24" t="str">
        <f t="shared" si="14"/>
        <v/>
      </c>
      <c r="W295" s="25" t="str">
        <f>IF(V295="","",IF(V295&lt;=0,"Renovar",IF(V295&lt;=Listas!$T$3,"Próximo a renovar","Vigente")))</f>
        <v/>
      </c>
      <c r="X295" s="26"/>
    </row>
    <row r="296" spans="1:24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7"/>
      <c r="K296" s="26"/>
      <c r="L296" s="26"/>
      <c r="M296" s="26"/>
      <c r="N296" s="28"/>
      <c r="O296" s="29"/>
      <c r="P296" s="27"/>
      <c r="Q296" s="26"/>
      <c r="R296" s="26"/>
      <c r="S296" s="26"/>
      <c r="T296" s="24" t="str">
        <f t="shared" ca="1" si="12"/>
        <v/>
      </c>
      <c r="U296" s="25" t="str">
        <f t="shared" ca="1" si="13"/>
        <v/>
      </c>
      <c r="V296" s="24" t="str">
        <f t="shared" si="14"/>
        <v/>
      </c>
      <c r="W296" s="25" t="str">
        <f>IF(V296="","",IF(V296&lt;=0,"Renovar",IF(V296&lt;=Listas!$T$3,"Próximo a renovar","Vigente")))</f>
        <v/>
      </c>
      <c r="X296" s="26"/>
    </row>
    <row r="297" spans="1:24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7"/>
      <c r="K297" s="26"/>
      <c r="L297" s="26"/>
      <c r="M297" s="26"/>
      <c r="N297" s="28"/>
      <c r="O297" s="29"/>
      <c r="P297" s="27"/>
      <c r="Q297" s="26"/>
      <c r="R297" s="26"/>
      <c r="S297" s="26"/>
      <c r="T297" s="24" t="str">
        <f t="shared" ca="1" si="12"/>
        <v/>
      </c>
      <c r="U297" s="25" t="str">
        <f t="shared" ca="1" si="13"/>
        <v/>
      </c>
      <c r="V297" s="24" t="str">
        <f t="shared" si="14"/>
        <v/>
      </c>
      <c r="W297" s="25" t="str">
        <f>IF(V297="","",IF(V297&lt;=0,"Renovar",IF(V297&lt;=Listas!$T$3,"Próximo a renovar","Vigente")))</f>
        <v/>
      </c>
      <c r="X297" s="26"/>
    </row>
    <row r="298" spans="1:24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7"/>
      <c r="K298" s="26"/>
      <c r="L298" s="26"/>
      <c r="M298" s="26"/>
      <c r="N298" s="28"/>
      <c r="O298" s="29"/>
      <c r="P298" s="27"/>
      <c r="Q298" s="26"/>
      <c r="R298" s="26"/>
      <c r="S298" s="26"/>
      <c r="T298" s="24" t="str">
        <f t="shared" ca="1" si="12"/>
        <v/>
      </c>
      <c r="U298" s="25" t="str">
        <f t="shared" ca="1" si="13"/>
        <v/>
      </c>
      <c r="V298" s="24" t="str">
        <f t="shared" si="14"/>
        <v/>
      </c>
      <c r="W298" s="25" t="str">
        <f>IF(V298="","",IF(V298&lt;=0,"Renovar",IF(V298&lt;=Listas!$T$3,"Próximo a renovar","Vigente")))</f>
        <v/>
      </c>
      <c r="X298" s="26"/>
    </row>
    <row r="299" spans="1:24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7"/>
      <c r="K299" s="26"/>
      <c r="L299" s="26"/>
      <c r="M299" s="26"/>
      <c r="N299" s="28"/>
      <c r="O299" s="29"/>
      <c r="P299" s="27"/>
      <c r="Q299" s="26"/>
      <c r="R299" s="26"/>
      <c r="S299" s="26"/>
      <c r="T299" s="24" t="str">
        <f t="shared" ca="1" si="12"/>
        <v/>
      </c>
      <c r="U299" s="25" t="str">
        <f t="shared" ca="1" si="13"/>
        <v/>
      </c>
      <c r="V299" s="24" t="str">
        <f t="shared" si="14"/>
        <v/>
      </c>
      <c r="W299" s="25" t="str">
        <f>IF(V299="","",IF(V299&lt;=0,"Renovar",IF(V299&lt;=Listas!$T$3,"Próximo a renovar","Vigente")))</f>
        <v/>
      </c>
      <c r="X299" s="26"/>
    </row>
    <row r="300" spans="1:24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7"/>
      <c r="K300" s="26"/>
      <c r="L300" s="26"/>
      <c r="M300" s="26"/>
      <c r="N300" s="28"/>
      <c r="O300" s="29"/>
      <c r="P300" s="27"/>
      <c r="Q300" s="26"/>
      <c r="R300" s="26"/>
      <c r="S300" s="26"/>
      <c r="T300" s="24" t="str">
        <f t="shared" ca="1" si="12"/>
        <v/>
      </c>
      <c r="U300" s="25" t="str">
        <f t="shared" ca="1" si="13"/>
        <v/>
      </c>
      <c r="V300" s="24" t="str">
        <f t="shared" si="14"/>
        <v/>
      </c>
      <c r="W300" s="25" t="str">
        <f>IF(V300="","",IF(V300&lt;=0,"Renovar",IF(V300&lt;=Listas!$T$3,"Próximo a renovar","Vigente")))</f>
        <v/>
      </c>
      <c r="X300" s="26"/>
    </row>
    <row r="301" spans="1:24" x14ac:dyDescent="0.25">
      <c r="A301" s="26"/>
      <c r="B301" s="26"/>
      <c r="C301" s="26"/>
      <c r="D301" s="26"/>
      <c r="E301" s="26"/>
      <c r="F301" s="26"/>
      <c r="G301" s="26"/>
      <c r="H301" s="26"/>
      <c r="I301" s="26"/>
      <c r="J301" s="27"/>
      <c r="K301" s="26"/>
      <c r="L301" s="26"/>
      <c r="M301" s="26"/>
      <c r="N301" s="28"/>
      <c r="O301" s="29"/>
      <c r="P301" s="27"/>
      <c r="Q301" s="26"/>
      <c r="R301" s="26"/>
      <c r="S301" s="26"/>
      <c r="T301" s="24" t="str">
        <f t="shared" ca="1" si="12"/>
        <v/>
      </c>
      <c r="U301" s="25" t="str">
        <f t="shared" ca="1" si="13"/>
        <v/>
      </c>
      <c r="V301" s="24" t="str">
        <f t="shared" si="14"/>
        <v/>
      </c>
      <c r="W301" s="25" t="str">
        <f>IF(V301="","",IF(V301&lt;=0,"Renovar",IF(V301&lt;=Listas!$T$3,"Próximo a renovar","Vigente")))</f>
        <v/>
      </c>
      <c r="X301" s="26"/>
    </row>
    <row r="302" spans="1:24" x14ac:dyDescent="0.25">
      <c r="A302" s="26"/>
      <c r="B302" s="26"/>
      <c r="C302" s="26"/>
      <c r="D302" s="26"/>
      <c r="E302" s="26"/>
      <c r="F302" s="26"/>
      <c r="G302" s="26"/>
      <c r="H302" s="26"/>
      <c r="I302" s="26"/>
      <c r="J302" s="27"/>
      <c r="K302" s="26"/>
      <c r="L302" s="26"/>
      <c r="M302" s="26"/>
      <c r="N302" s="28"/>
      <c r="O302" s="29"/>
      <c r="P302" s="27"/>
      <c r="Q302" s="26"/>
      <c r="R302" s="26"/>
      <c r="S302" s="26"/>
      <c r="T302" s="24" t="str">
        <f t="shared" ca="1" si="12"/>
        <v/>
      </c>
      <c r="U302" s="25" t="str">
        <f t="shared" ca="1" si="13"/>
        <v/>
      </c>
      <c r="V302" s="24" t="str">
        <f t="shared" si="14"/>
        <v/>
      </c>
      <c r="W302" s="25" t="str">
        <f>IF(V302="","",IF(V302&lt;=0,"Renovar",IF(V302&lt;=Listas!$T$3,"Próximo a renovar","Vigente")))</f>
        <v/>
      </c>
      <c r="X302" s="26"/>
    </row>
    <row r="303" spans="1:24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7"/>
      <c r="K303" s="26"/>
      <c r="L303" s="26"/>
      <c r="M303" s="26"/>
      <c r="N303" s="28"/>
      <c r="O303" s="29"/>
      <c r="P303" s="27"/>
      <c r="Q303" s="26"/>
      <c r="R303" s="26"/>
      <c r="S303" s="26"/>
      <c r="T303" s="24" t="str">
        <f t="shared" ca="1" si="12"/>
        <v/>
      </c>
      <c r="U303" s="25" t="str">
        <f t="shared" ca="1" si="13"/>
        <v/>
      </c>
      <c r="V303" s="24" t="str">
        <f t="shared" si="14"/>
        <v/>
      </c>
      <c r="W303" s="25" t="str">
        <f>IF(V303="","",IF(V303&lt;=0,"Renovar",IF(V303&lt;=Listas!$T$3,"Próximo a renovar","Vigente")))</f>
        <v/>
      </c>
      <c r="X303" s="26"/>
    </row>
    <row r="304" spans="1:24" x14ac:dyDescent="0.25">
      <c r="A304" s="26"/>
      <c r="B304" s="26"/>
      <c r="C304" s="26"/>
      <c r="D304" s="26"/>
      <c r="E304" s="26"/>
      <c r="F304" s="26"/>
      <c r="G304" s="26"/>
      <c r="H304" s="26"/>
      <c r="I304" s="26"/>
      <c r="J304" s="27"/>
      <c r="K304" s="26"/>
      <c r="L304" s="26"/>
      <c r="M304" s="26"/>
      <c r="N304" s="28"/>
      <c r="O304" s="29"/>
      <c r="P304" s="27"/>
      <c r="Q304" s="26"/>
      <c r="R304" s="26"/>
      <c r="S304" s="26"/>
      <c r="T304" s="24" t="str">
        <f t="shared" ca="1" si="12"/>
        <v/>
      </c>
      <c r="U304" s="25" t="str">
        <f t="shared" ca="1" si="13"/>
        <v/>
      </c>
      <c r="V304" s="24" t="str">
        <f t="shared" si="14"/>
        <v/>
      </c>
      <c r="W304" s="25" t="str">
        <f>IF(V304="","",IF(V304&lt;=0,"Renovar",IF(V304&lt;=Listas!$T$3,"Próximo a renovar","Vigente")))</f>
        <v/>
      </c>
      <c r="X304" s="26"/>
    </row>
  </sheetData>
  <autoFilter ref="A4:X304" xr:uid="{00000000-0009-0000-0000-000002000000}"/>
  <conditionalFormatting sqref="Q5:Q304">
    <cfRule type="cellIs" dxfId="17" priority="7" operator="equal">
      <formula>"En reparación"</formula>
    </cfRule>
    <cfRule type="cellIs" dxfId="16" priority="8" operator="equal">
      <formula>"Obsoleto"</formula>
    </cfRule>
    <cfRule type="cellIs" dxfId="15" priority="9" operator="equal">
      <formula>"Dado de baja"</formula>
    </cfRule>
    <cfRule type="cellIs" dxfId="14" priority="10" operator="equal">
      <formula>"Extraviado"</formula>
    </cfRule>
  </conditionalFormatting>
  <conditionalFormatting sqref="U5:U304">
    <cfRule type="cellIs" dxfId="13" priority="2" operator="equal">
      <formula>"Vencida"</formula>
    </cfRule>
    <cfRule type="cellIs" dxfId="12" priority="3" operator="equal">
      <formula>"Vigente"</formula>
    </cfRule>
  </conditionalFormatting>
  <conditionalFormatting sqref="W5:W304">
    <cfRule type="cellIs" dxfId="11" priority="4" operator="equal">
      <formula>"Renovar"</formula>
    </cfRule>
    <cfRule type="cellIs" dxfId="10" priority="5" operator="equal">
      <formula>"Próximo a renovar"</formula>
    </cfRule>
    <cfRule type="cellIs" dxfId="9" priority="6" operator="equal">
      <formula>"Vigente"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Valor no válido" error="Elija un valor de la lista. Las listas se editan en la hoja 'Listas'." xr:uid="{00000000-0002-0000-0200-000000000000}">
          <x14:formula1>
            <xm:f>OFFSET(Listas!$A$2,0,0,MAX(1,COUNTA(Listas!$A$2:$A$60)),1)</xm:f>
          </x14:formula1>
          <x14:formula2>
            <xm:f>0</xm:f>
          </x14:formula2>
          <xm:sqref>B5:B304</xm:sqref>
        </x14:dataValidation>
        <x14:dataValidation type="list" allowBlank="1" showErrorMessage="1" errorTitle="Valor no válido" error="Elija un valor de la lista. Las listas se editan en la hoja 'Listas'." xr:uid="{00000000-0002-0000-0200-000001000000}">
          <x14:formula1>
            <xm:f>OFFSET(Listas!$D$2,0,0,MAX(1,COUNTA(Listas!$D$2:$D$60)),1)</xm:f>
          </x14:formula1>
          <x14:formula2>
            <xm:f>0</xm:f>
          </x14:formula2>
          <xm:sqref>G5:G304</xm:sqref>
        </x14:dataValidation>
        <x14:dataValidation type="list" allowBlank="1" showErrorMessage="1" errorTitle="Valor no válido" error="Elija un valor de la lista. Las listas se editan en la hoja 'Listas'." xr:uid="{00000000-0002-0000-0200-000002000000}">
          <x14:formula1>
            <xm:f>OFFSET(Listas!$E$2,0,0,MAX(1,COUNTA(Listas!$E$2:$E$60)),1)</xm:f>
          </x14:formula1>
          <x14:formula2>
            <xm:f>0</xm:f>
          </x14:formula2>
          <xm:sqref>M5:M304</xm:sqref>
        </x14:dataValidation>
        <x14:dataValidation type="list" allowBlank="1" showErrorMessage="1" errorTitle="Valor no válido" error="Elija un valor de la lista. Las listas se editan en la hoja 'Listas'." xr:uid="{00000000-0002-0000-0200-000003000000}">
          <x14:formula1>
            <xm:f>OFFSET(Listas!$B$2,0,0,MAX(1,COUNTA(Listas!$B$2:$B$60)),1)</xm:f>
          </x14:formula1>
          <x14:formula2>
            <xm:f>0</xm:f>
          </x14:formula2>
          <xm:sqref>Q5:Q304</xm:sqref>
        </x14:dataValidation>
        <x14:dataValidation type="list" allowBlank="1" showErrorMessage="1" errorTitle="Valor no válido" error="Elija un valor de la lista. Las listas se editan en la hoja 'Listas'." xr:uid="{00000000-0002-0000-0200-000004000000}">
          <x14:formula1>
            <xm:f>OFFSET(Listas!$C$2,0,0,MAX(1,COUNTA(Listas!$C$2:$C$60)),1)</xm:f>
          </x14:formula1>
          <x14:formula2>
            <xm:f>0</xm:f>
          </x14:formula2>
          <xm:sqref>R5:R304</xm:sqref>
        </x14:dataValidation>
        <x14:dataValidation type="list" allowBlank="1" showErrorMessage="1" errorTitle="Valor no válido" error="Elija un valor de la lista. Las listas se editan en la hoja 'Listas'." xr:uid="{00000000-0002-0000-0200-000005000000}">
          <x14:formula1>
            <xm:f>OFFSET(Listas!$F$2,0,0,MAX(1,COUNTA(Listas!$F$2:$F$60)),1)</xm:f>
          </x14:formula1>
          <x14:formula2>
            <xm:f>0</xm:f>
          </x14:formula2>
          <xm:sqref>S5:S304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  <pageSetUpPr fitToPage="1"/>
  </sheetPr>
  <dimension ref="A1:D39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2" width="32" customWidth="1"/>
    <col min="3" max="3" width="30" customWidth="1"/>
    <col min="4" max="4" width="32" customWidth="1"/>
  </cols>
  <sheetData>
    <row r="1" spans="1:4" ht="20.25" x14ac:dyDescent="0.3">
      <c r="A1" s="1" t="s">
        <v>147</v>
      </c>
    </row>
    <row r="3" spans="1:4" x14ac:dyDescent="0.25">
      <c r="A3" s="30" t="s">
        <v>148</v>
      </c>
      <c r="B3" s="31" t="s">
        <v>101</v>
      </c>
      <c r="C3" s="11" t="s">
        <v>149</v>
      </c>
    </row>
    <row r="5" spans="1:4" x14ac:dyDescent="0.25">
      <c r="A5" s="3" t="s">
        <v>150</v>
      </c>
      <c r="B5" s="4"/>
      <c r="C5" s="4"/>
      <c r="D5" s="4"/>
    </row>
    <row r="6" spans="1:4" x14ac:dyDescent="0.25">
      <c r="A6" s="32" t="s">
        <v>78</v>
      </c>
      <c r="B6" s="33" t="str">
        <f>IF($B$3="","",IFERROR(IF(INDEX('Inventario General'!$B$5:$B$304,MATCH($B$3,'Inventario General'!$A$5:$A$304,0))="","",INDEX('Inventario General'!$B$5:$B$304,MATCH($B$3,'Inventario General'!$A$5:$A$304,0))),"No está en el inventario"))</f>
        <v>Laptop</v>
      </c>
      <c r="C6" s="32" t="s">
        <v>79</v>
      </c>
      <c r="D6" s="33" t="str">
        <f>IF($B$3="","",IFERROR(IF(INDEX('Inventario General'!$C$5:$C$304,MATCH($B$3,'Inventario General'!$A$5:$A$304,0))="","",INDEX('Inventario General'!$C$5:$C$304,MATCH($B$3,'Inventario General'!$A$5:$A$304,0))),"No está en el inventario"))</f>
        <v>Dell</v>
      </c>
    </row>
    <row r="7" spans="1:4" x14ac:dyDescent="0.25">
      <c r="A7" s="32" t="s">
        <v>80</v>
      </c>
      <c r="B7" s="33" t="str">
        <f>IF($B$3="","",IFERROR(IF(INDEX('Inventario General'!$D$5:$D$304,MATCH($B$3,'Inventario General'!$A$5:$A$304,0))="","",INDEX('Inventario General'!$D$5:$D$304,MATCH($B$3,'Inventario General'!$A$5:$A$304,0))),"No está en el inventario"))</f>
        <v>Latitude 5440</v>
      </c>
      <c r="C7" s="32" t="s">
        <v>81</v>
      </c>
      <c r="D7" s="33" t="str">
        <f>IF($B$3="","",IFERROR(IF(INDEX('Inventario General'!$E$5:$E$304,MATCH($B$3,'Inventario General'!$A$5:$A$304,0))="","",INDEX('Inventario General'!$E$5:$E$304,MATCH($B$3,'Inventario General'!$A$5:$A$304,0))),"No está en el inventario"))</f>
        <v>7XK2P93</v>
      </c>
    </row>
    <row r="8" spans="1:4" x14ac:dyDescent="0.25">
      <c r="A8" s="32" t="s">
        <v>82</v>
      </c>
      <c r="B8" s="33" t="str">
        <f>IF($B$3="","",IFERROR(IF(INDEX('Inventario General'!$F$5:$F$304,MATCH($B$3,'Inventario General'!$A$5:$A$304,0))="","",INDEX('Inventario General'!$F$5:$F$304,MATCH($B$3,'Inventario General'!$A$5:$A$304,0))),"No está en el inventario"))</f>
        <v>Laptop de oficina 14 pulgadas</v>
      </c>
      <c r="C8" s="32" t="s">
        <v>93</v>
      </c>
      <c r="D8" s="33" t="str">
        <f>IF($B$3="","",IFERROR(IF(INDEX('Inventario General'!$Q$5:$Q$304,MATCH($B$3,'Inventario General'!$A$5:$A$304,0))="","",INDEX('Inventario General'!$Q$5:$Q$304,MATCH($B$3,'Inventario General'!$A$5:$A$304,0))),"No está en el inventario"))</f>
        <v>Operativo</v>
      </c>
    </row>
    <row r="10" spans="1:4" x14ac:dyDescent="0.25">
      <c r="A10" s="3" t="s">
        <v>151</v>
      </c>
      <c r="B10" s="4"/>
      <c r="C10" s="4"/>
      <c r="D10" s="4"/>
    </row>
    <row r="11" spans="1:4" x14ac:dyDescent="0.25">
      <c r="A11" s="32" t="s">
        <v>83</v>
      </c>
      <c r="B11" s="33" t="str">
        <f>IF($B$3="","",IFERROR(IF(INDEX('Inventario General'!$G$5:$G$304,MATCH($B$3,'Inventario General'!$A$5:$A$304,0))="","",INDEX('Inventario General'!$G$5:$G$304,MATCH($B$3,'Inventario General'!$A$5:$A$304,0))),"No está en el inventario"))</f>
        <v>Administración</v>
      </c>
      <c r="C11" s="32" t="s">
        <v>84</v>
      </c>
      <c r="D11" s="33" t="str">
        <f>IF($B$3="","",IFERROR(IF(INDEX('Inventario General'!$H$5:$H$304,MATCH($B$3,'Inventario General'!$A$5:$A$304,0))="","",INDEX('Inventario General'!$H$5:$H$304,MATCH($B$3,'Inventario General'!$A$5:$A$304,0))),"No está en el inventario"))</f>
        <v>Piso 2 - Oficina 204</v>
      </c>
    </row>
    <row r="12" spans="1:4" x14ac:dyDescent="0.25">
      <c r="A12" s="32" t="s">
        <v>85</v>
      </c>
      <c r="B12" s="33" t="str">
        <f>IF($B$3="","",IFERROR(IF(INDEX('Inventario General'!$I$5:$I$304,MATCH($B$3,'Inventario General'!$A$5:$A$304,0))="","",INDEX('Inventario General'!$I$5:$I$304,MATCH($B$3,'Inventario General'!$A$5:$A$304,0))),"No está en el inventario"))</f>
        <v>Juan Pérez Quispe</v>
      </c>
      <c r="C12" s="32" t="s">
        <v>95</v>
      </c>
      <c r="D12" s="33" t="str">
        <f>IF($B$3="","",IFERROR(IF(INDEX('Inventario General'!$S$5:$S$304,MATCH($B$3,'Inventario General'!$A$5:$A$304,0))="","",INDEX('Inventario General'!$S$5:$S$304,MATCH($B$3,'Inventario General'!$A$5:$A$304,0))),"No está en el inventario"))</f>
        <v>Media</v>
      </c>
    </row>
    <row r="14" spans="1:4" x14ac:dyDescent="0.25">
      <c r="A14" s="3" t="s">
        <v>152</v>
      </c>
      <c r="B14" s="4"/>
      <c r="C14" s="4"/>
      <c r="D14" s="4"/>
    </row>
    <row r="15" spans="1:4" x14ac:dyDescent="0.25">
      <c r="A15" s="32" t="s">
        <v>86</v>
      </c>
      <c r="B15" s="34">
        <f>IF($B$3="","",IFERROR(IF(INDEX('Inventario General'!$J$5:$J$304,MATCH($B$3,'Inventario General'!$A$5:$A$304,0))="","",INDEX('Inventario General'!$J$5:$J$304,MATCH($B$3,'Inventario General'!$A$5:$A$304,0))),"No está en el inventario"))</f>
        <v>45000</v>
      </c>
      <c r="C15" s="32" t="s">
        <v>87</v>
      </c>
      <c r="D15" s="33" t="str">
        <f>IF($B$3="","",IFERROR(IF(INDEX('Inventario General'!$K$5:$K$304,MATCH($B$3,'Inventario General'!$A$5:$A$304,0))="","",INDEX('Inventario General'!$K$5:$K$304,MATCH($B$3,'Inventario General'!$A$5:$A$304,0))),"No está en el inventario"))</f>
        <v>Proveedor Tecnológico S.A.C.</v>
      </c>
    </row>
    <row r="16" spans="1:4" x14ac:dyDescent="0.25">
      <c r="A16" s="32" t="s">
        <v>88</v>
      </c>
      <c r="B16" s="33" t="str">
        <f>IF($B$3="","",IFERROR(IF(INDEX('Inventario General'!$L$5:$L$304,MATCH($B$3,'Inventario General'!$A$5:$A$304,0))="","",INDEX('Inventario General'!$L$5:$L$304,MATCH($B$3,'Inventario General'!$A$5:$A$304,0))),"No está en el inventario"))</f>
        <v>OC-2023-0145</v>
      </c>
      <c r="C16" s="32" t="s">
        <v>89</v>
      </c>
      <c r="D16" s="33" t="str">
        <f>IF($B$3="","",IFERROR(IF(INDEX('Inventario General'!$M$5:$M$304,MATCH($B$3,'Inventario General'!$A$5:$A$304,0))="","",INDEX('Inventario General'!$M$5:$M$304,MATCH($B$3,'Inventario General'!$A$5:$A$304,0))),"No está en el inventario"))</f>
        <v>Compra</v>
      </c>
    </row>
    <row r="17" spans="1:4" x14ac:dyDescent="0.25">
      <c r="A17" s="32" t="s">
        <v>153</v>
      </c>
      <c r="B17" s="35">
        <f>IF($B$3="","",IFERROR(IF(INDEX('Inventario General'!$N$5:$N$304,MATCH($B$3,'Inventario General'!$A$5:$A$304,0))="","",INDEX('Inventario General'!$N$5:$N$304,MATCH($B$3,'Inventario General'!$A$5:$A$304,0))),"No está en el inventario"))</f>
        <v>3850</v>
      </c>
      <c r="C17" s="32" t="s">
        <v>94</v>
      </c>
      <c r="D17" s="33" t="str">
        <f>IF($B$3="","",IFERROR(IF(INDEX('Inventario General'!$R$5:$R$304,MATCH($B$3,'Inventario General'!$A$5:$A$304,0))="","",INDEX('Inventario General'!$R$5:$R$304,MATCH($B$3,'Inventario General'!$A$5:$A$304,0))),"No está en el inventario"))</f>
        <v>Bueno</v>
      </c>
    </row>
    <row r="19" spans="1:4" x14ac:dyDescent="0.25">
      <c r="A19" s="3" t="s">
        <v>154</v>
      </c>
      <c r="B19" s="4"/>
      <c r="C19" s="4"/>
      <c r="D19" s="4"/>
    </row>
    <row r="20" spans="1:4" x14ac:dyDescent="0.25">
      <c r="A20" s="32" t="s">
        <v>92</v>
      </c>
      <c r="B20" s="34">
        <f>IF($B$3="","",IFERROR(IF(INDEX('Inventario General'!$P$5:$P$304,MATCH($B$3,'Inventario General'!$A$5:$A$304,0))="","",INDEX('Inventario General'!$P$5:$P$304,MATCH($B$3,'Inventario General'!$A$5:$A$304,0))),"No está en el inventario"))</f>
        <v>46095</v>
      </c>
      <c r="C20" s="32" t="s">
        <v>97</v>
      </c>
      <c r="D20" s="33" t="str">
        <f ca="1">IF($B$3="","",IFERROR(IF(INDEX('Inventario General'!$U$5:$U$304,MATCH($B$3,'Inventario General'!$A$5:$A$304,0))="","",INDEX('Inventario General'!$U$5:$U$304,MATCH($B$3,'Inventario General'!$A$5:$A$304,0))),"No está en el inventario"))</f>
        <v>Vencida</v>
      </c>
    </row>
    <row r="21" spans="1:4" x14ac:dyDescent="0.25">
      <c r="A21" s="32" t="s">
        <v>91</v>
      </c>
      <c r="B21" s="36">
        <f>IF($B$3="","",IFERROR(IF(INDEX('Inventario General'!$O$5:$O$304,MATCH($B$3,'Inventario General'!$A$5:$A$304,0))="","",INDEX('Inventario General'!$O$5:$O$304,MATCH($B$3,'Inventario General'!$A$5:$A$304,0))),"No está en el inventario"))</f>
        <v>4</v>
      </c>
      <c r="C21" s="32" t="s">
        <v>96</v>
      </c>
      <c r="D21" s="37">
        <f ca="1">IF($B$3="","",IFERROR(IF(INDEX('Inventario General'!$T$5:$T$304,MATCH($B$3,'Inventario General'!$A$5:$A$304,0))="","",INDEX('Inventario General'!$T$5:$T$304,MATCH($B$3,'Inventario General'!$A$5:$A$304,0))),"No está en el inventario"))</f>
        <v>3.6</v>
      </c>
    </row>
    <row r="22" spans="1:4" x14ac:dyDescent="0.25">
      <c r="A22" s="32" t="s">
        <v>98</v>
      </c>
      <c r="B22" s="37">
        <f ca="1">IF($B$3="","",IFERROR(IF(INDEX('Inventario General'!$V$5:$V$304,MATCH($B$3,'Inventario General'!$A$5:$A$304,0))="","",INDEX('Inventario General'!$V$5:$V$304,MATCH($B$3,'Inventario General'!$A$5:$A$304,0))),"No está en el inventario"))</f>
        <v>0.4</v>
      </c>
      <c r="C22" s="32" t="s">
        <v>99</v>
      </c>
      <c r="D22" s="33" t="str">
        <f ca="1">IF($B$3="","",IFERROR(IF(INDEX('Inventario General'!$W$5:$W$304,MATCH($B$3,'Inventario General'!$A$5:$A$304,0))="","",INDEX('Inventario General'!$W$5:$W$304,MATCH($B$3,'Inventario General'!$A$5:$A$304,0))),"No está en el inventario"))</f>
        <v>Próximo a renovar</v>
      </c>
    </row>
    <row r="24" spans="1:4" x14ac:dyDescent="0.25">
      <c r="A24" s="3" t="s">
        <v>155</v>
      </c>
      <c r="B24" s="4"/>
      <c r="C24" s="4"/>
      <c r="D24" s="4"/>
    </row>
    <row r="25" spans="1:4" x14ac:dyDescent="0.25">
      <c r="A25" s="32" t="s">
        <v>156</v>
      </c>
      <c r="B25" s="33" t="str">
        <f>IF($B$3="","",IFERROR(IF(INDEX('Equipos de Cómputo'!$F$5:$F$204,MATCH($B$3,'Equipos de Cómputo'!$A$5:$A$204,0))="","",INDEX('Equipos de Cómputo'!$F$5:$F$204,MATCH($B$3,'Equipos de Cómputo'!$A$5:$A$204,0))),"—"))</f>
        <v>Intel Core i7-1355U</v>
      </c>
      <c r="C25" s="32" t="s">
        <v>157</v>
      </c>
      <c r="D25" s="36">
        <f>IF($B$3="","",IFERROR(IF(INDEX('Equipos de Cómputo'!$I$5:$I$204,MATCH($B$3,'Equipos de Cómputo'!$A$5:$A$204,0))="","",INDEX('Equipos de Cómputo'!$I$5:$I$204,MATCH($B$3,'Equipos de Cómputo'!$A$5:$A$204,0))),"—"))</f>
        <v>16</v>
      </c>
    </row>
    <row r="26" spans="1:4" x14ac:dyDescent="0.25">
      <c r="A26" s="32" t="s">
        <v>158</v>
      </c>
      <c r="B26" s="33" t="str">
        <f>IF($B$3="","",IFERROR(IF(INDEX('Equipos de Cómputo'!$K$5:$K$204,MATCH($B$3,'Equipos de Cómputo'!$A$5:$A$204,0))="","",INDEX('Equipos de Cómputo'!$K$5:$K$204,MATCH($B$3,'Equipos de Cómputo'!$A$5:$A$204,0))),"—"))</f>
        <v>SSD</v>
      </c>
      <c r="C26" s="32" t="s">
        <v>159</v>
      </c>
      <c r="D26" s="38">
        <f>IF($B$3="","",IFERROR(IF(INDEX('Equipos de Cómputo'!$L$5:$L$204,MATCH($B$3,'Equipos de Cómputo'!$A$5:$A$204,0))="","",INDEX('Equipos de Cómputo'!$L$5:$L$204,MATCH($B$3,'Equipos de Cómputo'!$A$5:$A$204,0))),"—"))</f>
        <v>512</v>
      </c>
    </row>
    <row r="27" spans="1:4" x14ac:dyDescent="0.25">
      <c r="A27" s="32" t="s">
        <v>160</v>
      </c>
      <c r="B27" s="33" t="str">
        <f>IF($B$3="","",IFERROR(IF(INDEX('Equipos de Cómputo'!$O$5:$O$204,MATCH($B$3,'Equipos de Cómputo'!$A$5:$A$204,0))="","",INDEX('Equipos de Cómputo'!$O$5:$O$204,MATCH($B$3,'Equipos de Cómputo'!$A$5:$A$204,0))),"—"))</f>
        <v>Windows 11 Pro</v>
      </c>
      <c r="C27" s="32" t="s">
        <v>161</v>
      </c>
      <c r="D27" s="33" t="str">
        <f>IF($B$3="","",IFERROR(IF(INDEX('Equipos de Cómputo'!$Q$5:$Q$204,MATCH($B$3,'Equipos de Cómputo'!$A$5:$A$204,0))="","",INDEX('Equipos de Cómputo'!$Q$5:$Q$204,MATCH($B$3,'Equipos de Cómputo'!$A$5:$A$204,0))),"—"))</f>
        <v>ADM-LT-001</v>
      </c>
    </row>
    <row r="28" spans="1:4" x14ac:dyDescent="0.25">
      <c r="A28" s="32" t="s">
        <v>162</v>
      </c>
      <c r="B28" s="33" t="str">
        <f>IF($B$3="","",IFERROR(IF(INDEX('Equipos de Cómputo'!$R$5:$R$204,MATCH($B$3,'Equipos de Cómputo'!$A$5:$A$204,0))="","",INDEX('Equipos de Cómputo'!$R$5:$R$204,MATCH($B$3,'Equipos de Cómputo'!$A$5:$A$204,0))),"—"))</f>
        <v>192.168.10.45</v>
      </c>
      <c r="C28" s="32" t="s">
        <v>163</v>
      </c>
      <c r="D28" s="33" t="str">
        <f>IF($B$3="","",IFERROR(IF(INDEX('Equipos de Cómputo'!$S$5:$S$204,MATCH($B$3,'Equipos de Cómputo'!$A$5:$A$204,0))="","",INDEX('Equipos de Cómputo'!$S$5:$S$204,MATCH($B$3,'Equipos de Cómputo'!$A$5:$A$204,0))),"—"))</f>
        <v>A4:BB:6D:12:34:56</v>
      </c>
    </row>
    <row r="30" spans="1:4" x14ac:dyDescent="0.25">
      <c r="A30" s="3" t="s">
        <v>164</v>
      </c>
      <c r="B30" s="4"/>
      <c r="C30" s="4"/>
      <c r="D30" s="4"/>
    </row>
    <row r="31" spans="1:4" x14ac:dyDescent="0.25">
      <c r="A31" s="32" t="s">
        <v>165</v>
      </c>
      <c r="B31" s="36">
        <f>IF($B$3="","",COUNTIF(Mantenimiento!$B$5:$B$204,$B$3))</f>
        <v>1</v>
      </c>
      <c r="C31" s="32" t="s">
        <v>166</v>
      </c>
      <c r="D31" s="35">
        <f>IF($B$3="","",SUMIF(Mantenimiento!$B$5:$B$204,$B$3,Mantenimiento!$I$5:$I$204))</f>
        <v>80</v>
      </c>
    </row>
    <row r="32" spans="1:4" ht="25.5" x14ac:dyDescent="0.25">
      <c r="A32" s="32" t="s">
        <v>167</v>
      </c>
      <c r="B32" s="34">
        <f>IF($B$3="","",IF(COUNTIF(Mantenimiento!$B$5:$B$204,$B$3)=0,"Sin registros",SUMPRODUCT(MAX((Mantenimiento!$B$5:$B$204=$B$3)*Mantenimiento!$E$5:$E$204))))</f>
        <v>46254</v>
      </c>
      <c r="C32" s="32" t="s">
        <v>100</v>
      </c>
      <c r="D32" s="33" t="str">
        <f>IF($B$3="","",IFERROR(IF(INDEX('Inventario General'!$X$5:$X$304,MATCH($B$3,'Inventario General'!$A$5:$A$304,0))="","",INDEX('Inventario General'!$X$5:$X$304,MATCH($B$3,'Inventario General'!$A$5:$A$304,0))),"No está en el inventario"))</f>
        <v>FILA DE EJEMPLO: reemplazar o borrar</v>
      </c>
    </row>
    <row r="37" spans="1:3" x14ac:dyDescent="0.25">
      <c r="A37" s="39" t="s">
        <v>168</v>
      </c>
      <c r="B37" s="39" t="s">
        <v>168</v>
      </c>
      <c r="C37" s="39" t="s">
        <v>168</v>
      </c>
    </row>
    <row r="38" spans="1:3" x14ac:dyDescent="0.25">
      <c r="A38" s="40" t="s">
        <v>169</v>
      </c>
      <c r="B38" s="40" t="s">
        <v>170</v>
      </c>
      <c r="C38" s="40" t="s">
        <v>171</v>
      </c>
    </row>
    <row r="39" spans="1:3" x14ac:dyDescent="0.25">
      <c r="A39" s="41" t="s">
        <v>172</v>
      </c>
      <c r="B39" s="41" t="s">
        <v>172</v>
      </c>
      <c r="C39" s="41" t="s">
        <v>172</v>
      </c>
    </row>
  </sheetData>
  <pageMargins left="0.75" right="0.75" top="1" bottom="1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Código no encontrado" error="El código debe existir primero en la hoja 'Inventario General'." xr:uid="{00000000-0002-0000-0300-000000000000}">
          <x14:formula1>
            <xm:f>'Inventario General'!$A$5:$A$304</xm:f>
          </x14:formula1>
          <x14:formula2>
            <xm:f>0</xm:f>
          </x14:formula2>
          <xm:sqref>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  <pageSetUpPr fitToPage="1"/>
  </sheetPr>
  <dimension ref="A1:Y20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5" sqref="E5"/>
    </sheetView>
  </sheetViews>
  <sheetFormatPr baseColWidth="10" defaultColWidth="8.7109375" defaultRowHeight="15" x14ac:dyDescent="0.25"/>
  <cols>
    <col min="1" max="1" width="18" customWidth="1"/>
    <col min="2" max="2" width="14" customWidth="1"/>
    <col min="3" max="3" width="20" customWidth="1"/>
    <col min="4" max="4" width="22" customWidth="1"/>
    <col min="5" max="5" width="14" customWidth="1"/>
    <col min="6" max="6" width="26" customWidth="1"/>
    <col min="7" max="7" width="22" customWidth="1"/>
    <col min="8" max="8" width="10" customWidth="1"/>
    <col min="9" max="9" width="11" customWidth="1"/>
    <col min="10" max="10" width="10" customWidth="1"/>
    <col min="11" max="12" width="14" customWidth="1"/>
    <col min="13" max="13" width="20" customWidth="1"/>
    <col min="14" max="14" width="10" customWidth="1"/>
    <col min="15" max="15" width="20" customWidth="1"/>
    <col min="16" max="16" width="12" customWidth="1"/>
    <col min="17" max="17" width="18" customWidth="1"/>
    <col min="18" max="18" width="15" customWidth="1"/>
    <col min="19" max="19" width="19" customWidth="1"/>
    <col min="20" max="20" width="20" customWidth="1"/>
    <col min="21" max="21" width="18" customWidth="1"/>
    <col min="22" max="22" width="10" customWidth="1"/>
    <col min="23" max="24" width="24" customWidth="1"/>
    <col min="25" max="25" width="30" customWidth="1"/>
  </cols>
  <sheetData>
    <row r="1" spans="1:25" ht="18" x14ac:dyDescent="0.25">
      <c r="A1" s="18" t="s">
        <v>173</v>
      </c>
    </row>
    <row r="2" spans="1:25" x14ac:dyDescent="0.25">
      <c r="A2" s="11" t="s">
        <v>174</v>
      </c>
    </row>
    <row r="4" spans="1:25" ht="48" customHeight="1" x14ac:dyDescent="0.25">
      <c r="A4" s="12" t="s">
        <v>175</v>
      </c>
      <c r="B4" s="19" t="s">
        <v>79</v>
      </c>
      <c r="C4" s="19" t="s">
        <v>80</v>
      </c>
      <c r="D4" s="19" t="s">
        <v>176</v>
      </c>
      <c r="E4" s="12" t="s">
        <v>177</v>
      </c>
      <c r="F4" s="12" t="s">
        <v>156</v>
      </c>
      <c r="G4" s="12" t="s">
        <v>178</v>
      </c>
      <c r="H4" s="12" t="s">
        <v>179</v>
      </c>
      <c r="I4" s="12" t="s">
        <v>157</v>
      </c>
      <c r="J4" s="12" t="s">
        <v>180</v>
      </c>
      <c r="K4" s="12" t="s">
        <v>158</v>
      </c>
      <c r="L4" s="12" t="s">
        <v>181</v>
      </c>
      <c r="M4" s="12" t="s">
        <v>182</v>
      </c>
      <c r="N4" s="12" t="s">
        <v>183</v>
      </c>
      <c r="O4" s="12" t="s">
        <v>160</v>
      </c>
      <c r="P4" s="12" t="s">
        <v>184</v>
      </c>
      <c r="Q4" s="12" t="s">
        <v>185</v>
      </c>
      <c r="R4" s="12" t="s">
        <v>162</v>
      </c>
      <c r="S4" s="12" t="s">
        <v>163</v>
      </c>
      <c r="T4" s="12" t="s">
        <v>186</v>
      </c>
      <c r="U4" s="12" t="s">
        <v>187</v>
      </c>
      <c r="V4" s="12" t="s">
        <v>188</v>
      </c>
      <c r="W4" s="12" t="s">
        <v>189</v>
      </c>
      <c r="X4" s="12" t="s">
        <v>190</v>
      </c>
      <c r="Y4" s="12" t="s">
        <v>100</v>
      </c>
    </row>
    <row r="5" spans="1:25" x14ac:dyDescent="0.25">
      <c r="A5" s="20" t="s">
        <v>101</v>
      </c>
      <c r="B5" s="25" t="str">
        <f>IF($A5="","",IFERROR(INDEX('Inventario General'!$C$5:$C$304,MATCH($A5,'Inventario General'!$A$5:$A$304,0))&amp;"","No está en el inventario"))</f>
        <v>Dell</v>
      </c>
      <c r="C5" s="25" t="str">
        <f>IF($A5="","",IFERROR(INDEX('Inventario General'!$D$5:$D$304,MATCH($A5,'Inventario General'!$A$5:$A$304,0))&amp;"","No está en el inventario"))</f>
        <v>Latitude 5440</v>
      </c>
      <c r="D5" s="25" t="str">
        <f>IF($A5="","",IFERROR(INDEX('Inventario General'!$I$5:$I$304,MATCH($A5,'Inventario General'!$A$5:$A$304,0))&amp;"","No está en el inventario"))</f>
        <v>Juan Pérez Quispe</v>
      </c>
      <c r="E5" s="20" t="s">
        <v>102</v>
      </c>
      <c r="F5" s="20" t="s">
        <v>191</v>
      </c>
      <c r="G5" s="20" t="s">
        <v>192</v>
      </c>
      <c r="H5" s="23">
        <v>10</v>
      </c>
      <c r="I5" s="23">
        <v>16</v>
      </c>
      <c r="J5" s="20" t="s">
        <v>193</v>
      </c>
      <c r="K5" s="20" t="s">
        <v>194</v>
      </c>
      <c r="L5" s="42">
        <v>512</v>
      </c>
      <c r="M5" s="20" t="s">
        <v>195</v>
      </c>
      <c r="N5" s="43">
        <v>14</v>
      </c>
      <c r="O5" s="20" t="s">
        <v>196</v>
      </c>
      <c r="P5" s="20" t="s">
        <v>197</v>
      </c>
      <c r="Q5" s="20" t="s">
        <v>198</v>
      </c>
      <c r="R5" s="20" t="s">
        <v>199</v>
      </c>
      <c r="S5" s="20" t="s">
        <v>200</v>
      </c>
      <c r="T5" s="20" t="s">
        <v>201</v>
      </c>
      <c r="U5" s="20" t="s">
        <v>202</v>
      </c>
      <c r="V5" s="20" t="s">
        <v>203</v>
      </c>
      <c r="W5" s="20" t="s">
        <v>204</v>
      </c>
      <c r="X5" s="20" t="s">
        <v>205</v>
      </c>
      <c r="Y5" s="20" t="s">
        <v>129</v>
      </c>
    </row>
    <row r="6" spans="1:25" x14ac:dyDescent="0.25">
      <c r="A6" s="26"/>
      <c r="B6" s="25" t="str">
        <f>IF($A6="","",IFERROR(INDEX('Inventario General'!$C$5:$C$304,MATCH($A6,'Inventario General'!$A$5:$A$304,0))&amp;"","No está en el inventario"))</f>
        <v/>
      </c>
      <c r="C6" s="25" t="str">
        <f>IF($A6="","",IFERROR(INDEX('Inventario General'!$D$5:$D$304,MATCH($A6,'Inventario General'!$A$5:$A$304,0))&amp;"","No está en el inventario"))</f>
        <v/>
      </c>
      <c r="D6" s="25" t="str">
        <f>IF($A6="","",IFERROR(INDEX('Inventario General'!$I$5:$I$304,MATCH($A6,'Inventario General'!$A$5:$A$304,0))&amp;"","No está en el inventario"))</f>
        <v/>
      </c>
      <c r="E6" s="26"/>
      <c r="F6" s="26"/>
      <c r="G6" s="26"/>
      <c r="H6" s="29"/>
      <c r="I6" s="29"/>
      <c r="J6" s="26"/>
      <c r="K6" s="26"/>
      <c r="L6" s="44"/>
      <c r="M6" s="26"/>
      <c r="N6" s="45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1:25" x14ac:dyDescent="0.25">
      <c r="A7" s="26"/>
      <c r="B7" s="25" t="str">
        <f>IF($A7="","",IFERROR(INDEX('Inventario General'!$C$5:$C$304,MATCH($A7,'Inventario General'!$A$5:$A$304,0))&amp;"","No está en el inventario"))</f>
        <v/>
      </c>
      <c r="C7" s="25" t="str">
        <f>IF($A7="","",IFERROR(INDEX('Inventario General'!$D$5:$D$304,MATCH($A7,'Inventario General'!$A$5:$A$304,0))&amp;"","No está en el inventario"))</f>
        <v/>
      </c>
      <c r="D7" s="25" t="str">
        <f>IF($A7="","",IFERROR(INDEX('Inventario General'!$I$5:$I$304,MATCH($A7,'Inventario General'!$A$5:$A$304,0))&amp;"","No está en el inventario"))</f>
        <v/>
      </c>
      <c r="E7" s="26"/>
      <c r="F7" s="26"/>
      <c r="G7" s="26"/>
      <c r="H7" s="29"/>
      <c r="I7" s="29"/>
      <c r="J7" s="26"/>
      <c r="K7" s="26"/>
      <c r="L7" s="44"/>
      <c r="M7" s="26"/>
      <c r="N7" s="45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spans="1:25" x14ac:dyDescent="0.25">
      <c r="A8" s="26"/>
      <c r="B8" s="25" t="str">
        <f>IF($A8="","",IFERROR(INDEX('Inventario General'!$C$5:$C$304,MATCH($A8,'Inventario General'!$A$5:$A$304,0))&amp;"","No está en el inventario"))</f>
        <v/>
      </c>
      <c r="C8" s="25" t="str">
        <f>IF($A8="","",IFERROR(INDEX('Inventario General'!$D$5:$D$304,MATCH($A8,'Inventario General'!$A$5:$A$304,0))&amp;"","No está en el inventario"))</f>
        <v/>
      </c>
      <c r="D8" s="25" t="str">
        <f>IF($A8="","",IFERROR(INDEX('Inventario General'!$I$5:$I$304,MATCH($A8,'Inventario General'!$A$5:$A$304,0))&amp;"","No está en el inventario"))</f>
        <v/>
      </c>
      <c r="E8" s="26"/>
      <c r="F8" s="26"/>
      <c r="G8" s="26"/>
      <c r="H8" s="29"/>
      <c r="I8" s="29"/>
      <c r="J8" s="26"/>
      <c r="K8" s="26"/>
      <c r="L8" s="44"/>
      <c r="M8" s="26"/>
      <c r="N8" s="45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 x14ac:dyDescent="0.25">
      <c r="A9" s="26"/>
      <c r="B9" s="25" t="str">
        <f>IF($A9="","",IFERROR(INDEX('Inventario General'!$C$5:$C$304,MATCH($A9,'Inventario General'!$A$5:$A$304,0))&amp;"","No está en el inventario"))</f>
        <v/>
      </c>
      <c r="C9" s="25" t="str">
        <f>IF($A9="","",IFERROR(INDEX('Inventario General'!$D$5:$D$304,MATCH($A9,'Inventario General'!$A$5:$A$304,0))&amp;"","No está en el inventario"))</f>
        <v/>
      </c>
      <c r="D9" s="25" t="str">
        <f>IF($A9="","",IFERROR(INDEX('Inventario General'!$I$5:$I$304,MATCH($A9,'Inventario General'!$A$5:$A$304,0))&amp;"","No está en el inventario"))</f>
        <v/>
      </c>
      <c r="E9" s="26"/>
      <c r="F9" s="26"/>
      <c r="G9" s="26"/>
      <c r="H9" s="29"/>
      <c r="I9" s="29"/>
      <c r="J9" s="26"/>
      <c r="K9" s="26"/>
      <c r="L9" s="44"/>
      <c r="M9" s="26"/>
      <c r="N9" s="45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spans="1:25" x14ac:dyDescent="0.25">
      <c r="A10" s="26"/>
      <c r="B10" s="25" t="str">
        <f>IF($A10="","",IFERROR(INDEX('Inventario General'!$C$5:$C$304,MATCH($A10,'Inventario General'!$A$5:$A$304,0))&amp;"","No está en el inventario"))</f>
        <v/>
      </c>
      <c r="C10" s="25" t="str">
        <f>IF($A10="","",IFERROR(INDEX('Inventario General'!$D$5:$D$304,MATCH($A10,'Inventario General'!$A$5:$A$304,0))&amp;"","No está en el inventario"))</f>
        <v/>
      </c>
      <c r="D10" s="25" t="str">
        <f>IF($A10="","",IFERROR(INDEX('Inventario General'!$I$5:$I$304,MATCH($A10,'Inventario General'!$A$5:$A$304,0))&amp;"","No está en el inventario"))</f>
        <v/>
      </c>
      <c r="E10" s="26"/>
      <c r="F10" s="26"/>
      <c r="G10" s="26"/>
      <c r="H10" s="29"/>
      <c r="I10" s="29"/>
      <c r="J10" s="26"/>
      <c r="K10" s="26"/>
      <c r="L10" s="44"/>
      <c r="M10" s="26"/>
      <c r="N10" s="45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spans="1:25" x14ac:dyDescent="0.25">
      <c r="A11" s="26"/>
      <c r="B11" s="25" t="str">
        <f>IF($A11="","",IFERROR(INDEX('Inventario General'!$C$5:$C$304,MATCH($A11,'Inventario General'!$A$5:$A$304,0))&amp;"","No está en el inventario"))</f>
        <v/>
      </c>
      <c r="C11" s="25" t="str">
        <f>IF($A11="","",IFERROR(INDEX('Inventario General'!$D$5:$D$304,MATCH($A11,'Inventario General'!$A$5:$A$304,0))&amp;"","No está en el inventario"))</f>
        <v/>
      </c>
      <c r="D11" s="25" t="str">
        <f>IF($A11="","",IFERROR(INDEX('Inventario General'!$I$5:$I$304,MATCH($A11,'Inventario General'!$A$5:$A$304,0))&amp;"","No está en el inventario"))</f>
        <v/>
      </c>
      <c r="E11" s="26"/>
      <c r="F11" s="26"/>
      <c r="G11" s="26"/>
      <c r="H11" s="29"/>
      <c r="I11" s="29"/>
      <c r="J11" s="26"/>
      <c r="K11" s="26"/>
      <c r="L11" s="44"/>
      <c r="M11" s="26"/>
      <c r="N11" s="45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spans="1:25" x14ac:dyDescent="0.25">
      <c r="A12" s="26"/>
      <c r="B12" s="25" t="str">
        <f>IF($A12="","",IFERROR(INDEX('Inventario General'!$C$5:$C$304,MATCH($A12,'Inventario General'!$A$5:$A$304,0))&amp;"","No está en el inventario"))</f>
        <v/>
      </c>
      <c r="C12" s="25" t="str">
        <f>IF($A12="","",IFERROR(INDEX('Inventario General'!$D$5:$D$304,MATCH($A12,'Inventario General'!$A$5:$A$304,0))&amp;"","No está en el inventario"))</f>
        <v/>
      </c>
      <c r="D12" s="25" t="str">
        <f>IF($A12="","",IFERROR(INDEX('Inventario General'!$I$5:$I$304,MATCH($A12,'Inventario General'!$A$5:$A$304,0))&amp;"","No está en el inventario"))</f>
        <v/>
      </c>
      <c r="E12" s="26"/>
      <c r="F12" s="26"/>
      <c r="G12" s="26"/>
      <c r="H12" s="29"/>
      <c r="I12" s="29"/>
      <c r="J12" s="26"/>
      <c r="K12" s="26"/>
      <c r="L12" s="44"/>
      <c r="M12" s="26"/>
      <c r="N12" s="45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spans="1:25" x14ac:dyDescent="0.25">
      <c r="A13" s="26"/>
      <c r="B13" s="25" t="str">
        <f>IF($A13="","",IFERROR(INDEX('Inventario General'!$C$5:$C$304,MATCH($A13,'Inventario General'!$A$5:$A$304,0))&amp;"","No está en el inventario"))</f>
        <v/>
      </c>
      <c r="C13" s="25" t="str">
        <f>IF($A13="","",IFERROR(INDEX('Inventario General'!$D$5:$D$304,MATCH($A13,'Inventario General'!$A$5:$A$304,0))&amp;"","No está en el inventario"))</f>
        <v/>
      </c>
      <c r="D13" s="25" t="str">
        <f>IF($A13="","",IFERROR(INDEX('Inventario General'!$I$5:$I$304,MATCH($A13,'Inventario General'!$A$5:$A$304,0))&amp;"","No está en el inventario"))</f>
        <v/>
      </c>
      <c r="E13" s="26"/>
      <c r="F13" s="26"/>
      <c r="G13" s="26"/>
      <c r="H13" s="29"/>
      <c r="I13" s="29"/>
      <c r="J13" s="26"/>
      <c r="K13" s="26"/>
      <c r="L13" s="44"/>
      <c r="M13" s="26"/>
      <c r="N13" s="45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spans="1:25" x14ac:dyDescent="0.25">
      <c r="A14" s="26"/>
      <c r="B14" s="25" t="str">
        <f>IF($A14="","",IFERROR(INDEX('Inventario General'!$C$5:$C$304,MATCH($A14,'Inventario General'!$A$5:$A$304,0))&amp;"","No está en el inventario"))</f>
        <v/>
      </c>
      <c r="C14" s="25" t="str">
        <f>IF($A14="","",IFERROR(INDEX('Inventario General'!$D$5:$D$304,MATCH($A14,'Inventario General'!$A$5:$A$304,0))&amp;"","No está en el inventario"))</f>
        <v/>
      </c>
      <c r="D14" s="25" t="str">
        <f>IF($A14="","",IFERROR(INDEX('Inventario General'!$I$5:$I$304,MATCH($A14,'Inventario General'!$A$5:$A$304,0))&amp;"","No está en el inventario"))</f>
        <v/>
      </c>
      <c r="E14" s="26"/>
      <c r="F14" s="26"/>
      <c r="G14" s="26"/>
      <c r="H14" s="29"/>
      <c r="I14" s="29"/>
      <c r="J14" s="26"/>
      <c r="K14" s="26"/>
      <c r="L14" s="44"/>
      <c r="M14" s="26"/>
      <c r="N14" s="45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spans="1:25" x14ac:dyDescent="0.25">
      <c r="A15" s="26"/>
      <c r="B15" s="25" t="str">
        <f>IF($A15="","",IFERROR(INDEX('Inventario General'!$C$5:$C$304,MATCH($A15,'Inventario General'!$A$5:$A$304,0))&amp;"","No está en el inventario"))</f>
        <v/>
      </c>
      <c r="C15" s="25" t="str">
        <f>IF($A15="","",IFERROR(INDEX('Inventario General'!$D$5:$D$304,MATCH($A15,'Inventario General'!$A$5:$A$304,0))&amp;"","No está en el inventario"))</f>
        <v/>
      </c>
      <c r="D15" s="25" t="str">
        <f>IF($A15="","",IFERROR(INDEX('Inventario General'!$I$5:$I$304,MATCH($A15,'Inventario General'!$A$5:$A$304,0))&amp;"","No está en el inventario"))</f>
        <v/>
      </c>
      <c r="E15" s="26"/>
      <c r="F15" s="26"/>
      <c r="G15" s="26"/>
      <c r="H15" s="29"/>
      <c r="I15" s="29"/>
      <c r="J15" s="26"/>
      <c r="K15" s="26"/>
      <c r="L15" s="44"/>
      <c r="M15" s="26"/>
      <c r="N15" s="45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spans="1:25" x14ac:dyDescent="0.25">
      <c r="A16" s="26"/>
      <c r="B16" s="25" t="str">
        <f>IF($A16="","",IFERROR(INDEX('Inventario General'!$C$5:$C$304,MATCH($A16,'Inventario General'!$A$5:$A$304,0))&amp;"","No está en el inventario"))</f>
        <v/>
      </c>
      <c r="C16" s="25" t="str">
        <f>IF($A16="","",IFERROR(INDEX('Inventario General'!$D$5:$D$304,MATCH($A16,'Inventario General'!$A$5:$A$304,0))&amp;"","No está en el inventario"))</f>
        <v/>
      </c>
      <c r="D16" s="25" t="str">
        <f>IF($A16="","",IFERROR(INDEX('Inventario General'!$I$5:$I$304,MATCH($A16,'Inventario General'!$A$5:$A$304,0))&amp;"","No está en el inventario"))</f>
        <v/>
      </c>
      <c r="E16" s="26"/>
      <c r="F16" s="26"/>
      <c r="G16" s="26"/>
      <c r="H16" s="29"/>
      <c r="I16" s="29"/>
      <c r="J16" s="26"/>
      <c r="K16" s="26"/>
      <c r="L16" s="44"/>
      <c r="M16" s="26"/>
      <c r="N16" s="45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spans="1:25" x14ac:dyDescent="0.25">
      <c r="A17" s="26"/>
      <c r="B17" s="25" t="str">
        <f>IF($A17="","",IFERROR(INDEX('Inventario General'!$C$5:$C$304,MATCH($A17,'Inventario General'!$A$5:$A$304,0))&amp;"","No está en el inventario"))</f>
        <v/>
      </c>
      <c r="C17" s="25" t="str">
        <f>IF($A17="","",IFERROR(INDEX('Inventario General'!$D$5:$D$304,MATCH($A17,'Inventario General'!$A$5:$A$304,0))&amp;"","No está en el inventario"))</f>
        <v/>
      </c>
      <c r="D17" s="25" t="str">
        <f>IF($A17="","",IFERROR(INDEX('Inventario General'!$I$5:$I$304,MATCH($A17,'Inventario General'!$A$5:$A$304,0))&amp;"","No está en el inventario"))</f>
        <v/>
      </c>
      <c r="E17" s="26"/>
      <c r="F17" s="26"/>
      <c r="G17" s="26"/>
      <c r="H17" s="29"/>
      <c r="I17" s="29"/>
      <c r="J17" s="26"/>
      <c r="K17" s="26"/>
      <c r="L17" s="44"/>
      <c r="M17" s="26"/>
      <c r="N17" s="45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25" x14ac:dyDescent="0.25">
      <c r="A18" s="26"/>
      <c r="B18" s="25" t="str">
        <f>IF($A18="","",IFERROR(INDEX('Inventario General'!$C$5:$C$304,MATCH($A18,'Inventario General'!$A$5:$A$304,0))&amp;"","No está en el inventario"))</f>
        <v/>
      </c>
      <c r="C18" s="25" t="str">
        <f>IF($A18="","",IFERROR(INDEX('Inventario General'!$D$5:$D$304,MATCH($A18,'Inventario General'!$A$5:$A$304,0))&amp;"","No está en el inventario"))</f>
        <v/>
      </c>
      <c r="D18" s="25" t="str">
        <f>IF($A18="","",IFERROR(INDEX('Inventario General'!$I$5:$I$304,MATCH($A18,'Inventario General'!$A$5:$A$304,0))&amp;"","No está en el inventario"))</f>
        <v/>
      </c>
      <c r="E18" s="26"/>
      <c r="F18" s="26"/>
      <c r="G18" s="26"/>
      <c r="H18" s="29"/>
      <c r="I18" s="29"/>
      <c r="J18" s="26"/>
      <c r="K18" s="26"/>
      <c r="L18" s="44"/>
      <c r="M18" s="26"/>
      <c r="N18" s="45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5" x14ac:dyDescent="0.25">
      <c r="A19" s="26"/>
      <c r="B19" s="25" t="str">
        <f>IF($A19="","",IFERROR(INDEX('Inventario General'!$C$5:$C$304,MATCH($A19,'Inventario General'!$A$5:$A$304,0))&amp;"","No está en el inventario"))</f>
        <v/>
      </c>
      <c r="C19" s="25" t="str">
        <f>IF($A19="","",IFERROR(INDEX('Inventario General'!$D$5:$D$304,MATCH($A19,'Inventario General'!$A$5:$A$304,0))&amp;"","No está en el inventario"))</f>
        <v/>
      </c>
      <c r="D19" s="25" t="str">
        <f>IF($A19="","",IFERROR(INDEX('Inventario General'!$I$5:$I$304,MATCH($A19,'Inventario General'!$A$5:$A$304,0))&amp;"","No está en el inventario"))</f>
        <v/>
      </c>
      <c r="E19" s="26"/>
      <c r="F19" s="26"/>
      <c r="G19" s="26"/>
      <c r="H19" s="29"/>
      <c r="I19" s="29"/>
      <c r="J19" s="26"/>
      <c r="K19" s="26"/>
      <c r="L19" s="44"/>
      <c r="M19" s="26"/>
      <c r="N19" s="45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 x14ac:dyDescent="0.25">
      <c r="A20" s="26"/>
      <c r="B20" s="25" t="str">
        <f>IF($A20="","",IFERROR(INDEX('Inventario General'!$C$5:$C$304,MATCH($A20,'Inventario General'!$A$5:$A$304,0))&amp;"","No está en el inventario"))</f>
        <v/>
      </c>
      <c r="C20" s="25" t="str">
        <f>IF($A20="","",IFERROR(INDEX('Inventario General'!$D$5:$D$304,MATCH($A20,'Inventario General'!$A$5:$A$304,0))&amp;"","No está en el inventario"))</f>
        <v/>
      </c>
      <c r="D20" s="25" t="str">
        <f>IF($A20="","",IFERROR(INDEX('Inventario General'!$I$5:$I$304,MATCH($A20,'Inventario General'!$A$5:$A$304,0))&amp;"","No está en el inventario"))</f>
        <v/>
      </c>
      <c r="E20" s="26"/>
      <c r="F20" s="26"/>
      <c r="G20" s="26"/>
      <c r="H20" s="29"/>
      <c r="I20" s="29"/>
      <c r="J20" s="26"/>
      <c r="K20" s="26"/>
      <c r="L20" s="44"/>
      <c r="M20" s="26"/>
      <c r="N20" s="45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 x14ac:dyDescent="0.25">
      <c r="A21" s="26"/>
      <c r="B21" s="25" t="str">
        <f>IF($A21="","",IFERROR(INDEX('Inventario General'!$C$5:$C$304,MATCH($A21,'Inventario General'!$A$5:$A$304,0))&amp;"","No está en el inventario"))</f>
        <v/>
      </c>
      <c r="C21" s="25" t="str">
        <f>IF($A21="","",IFERROR(INDEX('Inventario General'!$D$5:$D$304,MATCH($A21,'Inventario General'!$A$5:$A$304,0))&amp;"","No está en el inventario"))</f>
        <v/>
      </c>
      <c r="D21" s="25" t="str">
        <f>IF($A21="","",IFERROR(INDEX('Inventario General'!$I$5:$I$304,MATCH($A21,'Inventario General'!$A$5:$A$304,0))&amp;"","No está en el inventario"))</f>
        <v/>
      </c>
      <c r="E21" s="26"/>
      <c r="F21" s="26"/>
      <c r="G21" s="26"/>
      <c r="H21" s="29"/>
      <c r="I21" s="29"/>
      <c r="J21" s="26"/>
      <c r="K21" s="26"/>
      <c r="L21" s="44"/>
      <c r="M21" s="26"/>
      <c r="N21" s="4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5" x14ac:dyDescent="0.25">
      <c r="A22" s="26"/>
      <c r="B22" s="25" t="str">
        <f>IF($A22="","",IFERROR(INDEX('Inventario General'!$C$5:$C$304,MATCH($A22,'Inventario General'!$A$5:$A$304,0))&amp;"","No está en el inventario"))</f>
        <v/>
      </c>
      <c r="C22" s="25" t="str">
        <f>IF($A22="","",IFERROR(INDEX('Inventario General'!$D$5:$D$304,MATCH($A22,'Inventario General'!$A$5:$A$304,0))&amp;"","No está en el inventario"))</f>
        <v/>
      </c>
      <c r="D22" s="25" t="str">
        <f>IF($A22="","",IFERROR(INDEX('Inventario General'!$I$5:$I$304,MATCH($A22,'Inventario General'!$A$5:$A$304,0))&amp;"","No está en el inventario"))</f>
        <v/>
      </c>
      <c r="E22" s="26"/>
      <c r="F22" s="26"/>
      <c r="G22" s="26"/>
      <c r="H22" s="29"/>
      <c r="I22" s="29"/>
      <c r="J22" s="26"/>
      <c r="K22" s="26"/>
      <c r="L22" s="44"/>
      <c r="M22" s="26"/>
      <c r="N22" s="45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x14ac:dyDescent="0.25">
      <c r="A23" s="26"/>
      <c r="B23" s="25" t="str">
        <f>IF($A23="","",IFERROR(INDEX('Inventario General'!$C$5:$C$304,MATCH($A23,'Inventario General'!$A$5:$A$304,0))&amp;"","No está en el inventario"))</f>
        <v/>
      </c>
      <c r="C23" s="25" t="str">
        <f>IF($A23="","",IFERROR(INDEX('Inventario General'!$D$5:$D$304,MATCH($A23,'Inventario General'!$A$5:$A$304,0))&amp;"","No está en el inventario"))</f>
        <v/>
      </c>
      <c r="D23" s="25" t="str">
        <f>IF($A23="","",IFERROR(INDEX('Inventario General'!$I$5:$I$304,MATCH($A23,'Inventario General'!$A$5:$A$304,0))&amp;"","No está en el inventario"))</f>
        <v/>
      </c>
      <c r="E23" s="26"/>
      <c r="F23" s="26"/>
      <c r="G23" s="26"/>
      <c r="H23" s="29"/>
      <c r="I23" s="29"/>
      <c r="J23" s="26"/>
      <c r="K23" s="26"/>
      <c r="L23" s="44"/>
      <c r="M23" s="26"/>
      <c r="N23" s="45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 x14ac:dyDescent="0.25">
      <c r="A24" s="26"/>
      <c r="B24" s="25" t="str">
        <f>IF($A24="","",IFERROR(INDEX('Inventario General'!$C$5:$C$304,MATCH($A24,'Inventario General'!$A$5:$A$304,0))&amp;"","No está en el inventario"))</f>
        <v/>
      </c>
      <c r="C24" s="25" t="str">
        <f>IF($A24="","",IFERROR(INDEX('Inventario General'!$D$5:$D$304,MATCH($A24,'Inventario General'!$A$5:$A$304,0))&amp;"","No está en el inventario"))</f>
        <v/>
      </c>
      <c r="D24" s="25" t="str">
        <f>IF($A24="","",IFERROR(INDEX('Inventario General'!$I$5:$I$304,MATCH($A24,'Inventario General'!$A$5:$A$304,0))&amp;"","No está en el inventario"))</f>
        <v/>
      </c>
      <c r="E24" s="26"/>
      <c r="F24" s="26"/>
      <c r="G24" s="26"/>
      <c r="H24" s="29"/>
      <c r="I24" s="29"/>
      <c r="J24" s="26"/>
      <c r="K24" s="26"/>
      <c r="L24" s="44"/>
      <c r="M24" s="26"/>
      <c r="N24" s="45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x14ac:dyDescent="0.25">
      <c r="A25" s="26"/>
      <c r="B25" s="25" t="str">
        <f>IF($A25="","",IFERROR(INDEX('Inventario General'!$C$5:$C$304,MATCH($A25,'Inventario General'!$A$5:$A$304,0))&amp;"","No está en el inventario"))</f>
        <v/>
      </c>
      <c r="C25" s="25" t="str">
        <f>IF($A25="","",IFERROR(INDEX('Inventario General'!$D$5:$D$304,MATCH($A25,'Inventario General'!$A$5:$A$304,0))&amp;"","No está en el inventario"))</f>
        <v/>
      </c>
      <c r="D25" s="25" t="str">
        <f>IF($A25="","",IFERROR(INDEX('Inventario General'!$I$5:$I$304,MATCH($A25,'Inventario General'!$A$5:$A$304,0))&amp;"","No está en el inventario"))</f>
        <v/>
      </c>
      <c r="E25" s="26"/>
      <c r="F25" s="26"/>
      <c r="G25" s="26"/>
      <c r="H25" s="29"/>
      <c r="I25" s="29"/>
      <c r="J25" s="26"/>
      <c r="K25" s="26"/>
      <c r="L25" s="44"/>
      <c r="M25" s="26"/>
      <c r="N25" s="45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 x14ac:dyDescent="0.25">
      <c r="A26" s="26"/>
      <c r="B26" s="25" t="str">
        <f>IF($A26="","",IFERROR(INDEX('Inventario General'!$C$5:$C$304,MATCH($A26,'Inventario General'!$A$5:$A$304,0))&amp;"","No está en el inventario"))</f>
        <v/>
      </c>
      <c r="C26" s="25" t="str">
        <f>IF($A26="","",IFERROR(INDEX('Inventario General'!$D$5:$D$304,MATCH($A26,'Inventario General'!$A$5:$A$304,0))&amp;"","No está en el inventario"))</f>
        <v/>
      </c>
      <c r="D26" s="25" t="str">
        <f>IF($A26="","",IFERROR(INDEX('Inventario General'!$I$5:$I$304,MATCH($A26,'Inventario General'!$A$5:$A$304,0))&amp;"","No está en el inventario"))</f>
        <v/>
      </c>
      <c r="E26" s="26"/>
      <c r="F26" s="26"/>
      <c r="G26" s="26"/>
      <c r="H26" s="29"/>
      <c r="I26" s="29"/>
      <c r="J26" s="26"/>
      <c r="K26" s="26"/>
      <c r="L26" s="44"/>
      <c r="M26" s="26"/>
      <c r="N26" s="45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 x14ac:dyDescent="0.25">
      <c r="A27" s="26"/>
      <c r="B27" s="25" t="str">
        <f>IF($A27="","",IFERROR(INDEX('Inventario General'!$C$5:$C$304,MATCH($A27,'Inventario General'!$A$5:$A$304,0))&amp;"","No está en el inventario"))</f>
        <v/>
      </c>
      <c r="C27" s="25" t="str">
        <f>IF($A27="","",IFERROR(INDEX('Inventario General'!$D$5:$D$304,MATCH($A27,'Inventario General'!$A$5:$A$304,0))&amp;"","No está en el inventario"))</f>
        <v/>
      </c>
      <c r="D27" s="25" t="str">
        <f>IF($A27="","",IFERROR(INDEX('Inventario General'!$I$5:$I$304,MATCH($A27,'Inventario General'!$A$5:$A$304,0))&amp;"","No está en el inventario"))</f>
        <v/>
      </c>
      <c r="E27" s="26"/>
      <c r="F27" s="26"/>
      <c r="G27" s="26"/>
      <c r="H27" s="29"/>
      <c r="I27" s="29"/>
      <c r="J27" s="26"/>
      <c r="K27" s="26"/>
      <c r="L27" s="44"/>
      <c r="M27" s="26"/>
      <c r="N27" s="45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 x14ac:dyDescent="0.25">
      <c r="A28" s="26"/>
      <c r="B28" s="25" t="str">
        <f>IF($A28="","",IFERROR(INDEX('Inventario General'!$C$5:$C$304,MATCH($A28,'Inventario General'!$A$5:$A$304,0))&amp;"","No está en el inventario"))</f>
        <v/>
      </c>
      <c r="C28" s="25" t="str">
        <f>IF($A28="","",IFERROR(INDEX('Inventario General'!$D$5:$D$304,MATCH($A28,'Inventario General'!$A$5:$A$304,0))&amp;"","No está en el inventario"))</f>
        <v/>
      </c>
      <c r="D28" s="25" t="str">
        <f>IF($A28="","",IFERROR(INDEX('Inventario General'!$I$5:$I$304,MATCH($A28,'Inventario General'!$A$5:$A$304,0))&amp;"","No está en el inventario"))</f>
        <v/>
      </c>
      <c r="E28" s="26"/>
      <c r="F28" s="26"/>
      <c r="G28" s="26"/>
      <c r="H28" s="29"/>
      <c r="I28" s="29"/>
      <c r="J28" s="26"/>
      <c r="K28" s="26"/>
      <c r="L28" s="44"/>
      <c r="M28" s="26"/>
      <c r="N28" s="45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 x14ac:dyDescent="0.25">
      <c r="A29" s="26"/>
      <c r="B29" s="25" t="str">
        <f>IF($A29="","",IFERROR(INDEX('Inventario General'!$C$5:$C$304,MATCH($A29,'Inventario General'!$A$5:$A$304,0))&amp;"","No está en el inventario"))</f>
        <v/>
      </c>
      <c r="C29" s="25" t="str">
        <f>IF($A29="","",IFERROR(INDEX('Inventario General'!$D$5:$D$304,MATCH($A29,'Inventario General'!$A$5:$A$304,0))&amp;"","No está en el inventario"))</f>
        <v/>
      </c>
      <c r="D29" s="25" t="str">
        <f>IF($A29="","",IFERROR(INDEX('Inventario General'!$I$5:$I$304,MATCH($A29,'Inventario General'!$A$5:$A$304,0))&amp;"","No está en el inventario"))</f>
        <v/>
      </c>
      <c r="E29" s="26"/>
      <c r="F29" s="26"/>
      <c r="G29" s="26"/>
      <c r="H29" s="29"/>
      <c r="I29" s="29"/>
      <c r="J29" s="26"/>
      <c r="K29" s="26"/>
      <c r="L29" s="44"/>
      <c r="M29" s="26"/>
      <c r="N29" s="45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x14ac:dyDescent="0.25">
      <c r="A30" s="26"/>
      <c r="B30" s="25" t="str">
        <f>IF($A30="","",IFERROR(INDEX('Inventario General'!$C$5:$C$304,MATCH($A30,'Inventario General'!$A$5:$A$304,0))&amp;"","No está en el inventario"))</f>
        <v/>
      </c>
      <c r="C30" s="25" t="str">
        <f>IF($A30="","",IFERROR(INDEX('Inventario General'!$D$5:$D$304,MATCH($A30,'Inventario General'!$A$5:$A$304,0))&amp;"","No está en el inventario"))</f>
        <v/>
      </c>
      <c r="D30" s="25" t="str">
        <f>IF($A30="","",IFERROR(INDEX('Inventario General'!$I$5:$I$304,MATCH($A30,'Inventario General'!$A$5:$A$304,0))&amp;"","No está en el inventario"))</f>
        <v/>
      </c>
      <c r="E30" s="26"/>
      <c r="F30" s="26"/>
      <c r="G30" s="26"/>
      <c r="H30" s="29"/>
      <c r="I30" s="29"/>
      <c r="J30" s="26"/>
      <c r="K30" s="26"/>
      <c r="L30" s="44"/>
      <c r="M30" s="26"/>
      <c r="N30" s="45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x14ac:dyDescent="0.25">
      <c r="A31" s="26"/>
      <c r="B31" s="25" t="str">
        <f>IF($A31="","",IFERROR(INDEX('Inventario General'!$C$5:$C$304,MATCH($A31,'Inventario General'!$A$5:$A$304,0))&amp;"","No está en el inventario"))</f>
        <v/>
      </c>
      <c r="C31" s="25" t="str">
        <f>IF($A31="","",IFERROR(INDEX('Inventario General'!$D$5:$D$304,MATCH($A31,'Inventario General'!$A$5:$A$304,0))&amp;"","No está en el inventario"))</f>
        <v/>
      </c>
      <c r="D31" s="25" t="str">
        <f>IF($A31="","",IFERROR(INDEX('Inventario General'!$I$5:$I$304,MATCH($A31,'Inventario General'!$A$5:$A$304,0))&amp;"","No está en el inventario"))</f>
        <v/>
      </c>
      <c r="E31" s="26"/>
      <c r="F31" s="26"/>
      <c r="G31" s="26"/>
      <c r="H31" s="29"/>
      <c r="I31" s="29"/>
      <c r="J31" s="26"/>
      <c r="K31" s="26"/>
      <c r="L31" s="44"/>
      <c r="M31" s="26"/>
      <c r="N31" s="45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 x14ac:dyDescent="0.25">
      <c r="A32" s="26"/>
      <c r="B32" s="25" t="str">
        <f>IF($A32="","",IFERROR(INDEX('Inventario General'!$C$5:$C$304,MATCH($A32,'Inventario General'!$A$5:$A$304,0))&amp;"","No está en el inventario"))</f>
        <v/>
      </c>
      <c r="C32" s="25" t="str">
        <f>IF($A32="","",IFERROR(INDEX('Inventario General'!$D$5:$D$304,MATCH($A32,'Inventario General'!$A$5:$A$304,0))&amp;"","No está en el inventario"))</f>
        <v/>
      </c>
      <c r="D32" s="25" t="str">
        <f>IF($A32="","",IFERROR(INDEX('Inventario General'!$I$5:$I$304,MATCH($A32,'Inventario General'!$A$5:$A$304,0))&amp;"","No está en el inventario"))</f>
        <v/>
      </c>
      <c r="E32" s="26"/>
      <c r="F32" s="26"/>
      <c r="G32" s="26"/>
      <c r="H32" s="29"/>
      <c r="I32" s="29"/>
      <c r="J32" s="26"/>
      <c r="K32" s="26"/>
      <c r="L32" s="44"/>
      <c r="M32" s="26"/>
      <c r="N32" s="45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x14ac:dyDescent="0.25">
      <c r="A33" s="26"/>
      <c r="B33" s="25" t="str">
        <f>IF($A33="","",IFERROR(INDEX('Inventario General'!$C$5:$C$304,MATCH($A33,'Inventario General'!$A$5:$A$304,0))&amp;"","No está en el inventario"))</f>
        <v/>
      </c>
      <c r="C33" s="25" t="str">
        <f>IF($A33="","",IFERROR(INDEX('Inventario General'!$D$5:$D$304,MATCH($A33,'Inventario General'!$A$5:$A$304,0))&amp;"","No está en el inventario"))</f>
        <v/>
      </c>
      <c r="D33" s="25" t="str">
        <f>IF($A33="","",IFERROR(INDEX('Inventario General'!$I$5:$I$304,MATCH($A33,'Inventario General'!$A$5:$A$304,0))&amp;"","No está en el inventario"))</f>
        <v/>
      </c>
      <c r="E33" s="26"/>
      <c r="F33" s="26"/>
      <c r="G33" s="26"/>
      <c r="H33" s="29"/>
      <c r="I33" s="29"/>
      <c r="J33" s="26"/>
      <c r="K33" s="26"/>
      <c r="L33" s="44"/>
      <c r="M33" s="26"/>
      <c r="N33" s="45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x14ac:dyDescent="0.25">
      <c r="A34" s="26"/>
      <c r="B34" s="25" t="str">
        <f>IF($A34="","",IFERROR(INDEX('Inventario General'!$C$5:$C$304,MATCH($A34,'Inventario General'!$A$5:$A$304,0))&amp;"","No está en el inventario"))</f>
        <v/>
      </c>
      <c r="C34" s="25" t="str">
        <f>IF($A34="","",IFERROR(INDEX('Inventario General'!$D$5:$D$304,MATCH($A34,'Inventario General'!$A$5:$A$304,0))&amp;"","No está en el inventario"))</f>
        <v/>
      </c>
      <c r="D34" s="25" t="str">
        <f>IF($A34="","",IFERROR(INDEX('Inventario General'!$I$5:$I$304,MATCH($A34,'Inventario General'!$A$5:$A$304,0))&amp;"","No está en el inventario"))</f>
        <v/>
      </c>
      <c r="E34" s="26"/>
      <c r="F34" s="26"/>
      <c r="G34" s="26"/>
      <c r="H34" s="29"/>
      <c r="I34" s="29"/>
      <c r="J34" s="26"/>
      <c r="K34" s="26"/>
      <c r="L34" s="44"/>
      <c r="M34" s="26"/>
      <c r="N34" s="45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x14ac:dyDescent="0.25">
      <c r="A35" s="26"/>
      <c r="B35" s="25" t="str">
        <f>IF($A35="","",IFERROR(INDEX('Inventario General'!$C$5:$C$304,MATCH($A35,'Inventario General'!$A$5:$A$304,0))&amp;"","No está en el inventario"))</f>
        <v/>
      </c>
      <c r="C35" s="25" t="str">
        <f>IF($A35="","",IFERROR(INDEX('Inventario General'!$D$5:$D$304,MATCH($A35,'Inventario General'!$A$5:$A$304,0))&amp;"","No está en el inventario"))</f>
        <v/>
      </c>
      <c r="D35" s="25" t="str">
        <f>IF($A35="","",IFERROR(INDEX('Inventario General'!$I$5:$I$304,MATCH($A35,'Inventario General'!$A$5:$A$304,0))&amp;"","No está en el inventario"))</f>
        <v/>
      </c>
      <c r="E35" s="26"/>
      <c r="F35" s="26"/>
      <c r="G35" s="26"/>
      <c r="H35" s="29"/>
      <c r="I35" s="29"/>
      <c r="J35" s="26"/>
      <c r="K35" s="26"/>
      <c r="L35" s="44"/>
      <c r="M35" s="26"/>
      <c r="N35" s="45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x14ac:dyDescent="0.25">
      <c r="A36" s="26"/>
      <c r="B36" s="25" t="str">
        <f>IF($A36="","",IFERROR(INDEX('Inventario General'!$C$5:$C$304,MATCH($A36,'Inventario General'!$A$5:$A$304,0))&amp;"","No está en el inventario"))</f>
        <v/>
      </c>
      <c r="C36" s="25" t="str">
        <f>IF($A36="","",IFERROR(INDEX('Inventario General'!$D$5:$D$304,MATCH($A36,'Inventario General'!$A$5:$A$304,0))&amp;"","No está en el inventario"))</f>
        <v/>
      </c>
      <c r="D36" s="25" t="str">
        <f>IF($A36="","",IFERROR(INDEX('Inventario General'!$I$5:$I$304,MATCH($A36,'Inventario General'!$A$5:$A$304,0))&amp;"","No está en el inventario"))</f>
        <v/>
      </c>
      <c r="E36" s="26"/>
      <c r="F36" s="26"/>
      <c r="G36" s="26"/>
      <c r="H36" s="29"/>
      <c r="I36" s="29"/>
      <c r="J36" s="26"/>
      <c r="K36" s="26"/>
      <c r="L36" s="44"/>
      <c r="M36" s="26"/>
      <c r="N36" s="45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x14ac:dyDescent="0.25">
      <c r="A37" s="26"/>
      <c r="B37" s="25" t="str">
        <f>IF($A37="","",IFERROR(INDEX('Inventario General'!$C$5:$C$304,MATCH($A37,'Inventario General'!$A$5:$A$304,0))&amp;"","No está en el inventario"))</f>
        <v/>
      </c>
      <c r="C37" s="25" t="str">
        <f>IF($A37="","",IFERROR(INDEX('Inventario General'!$D$5:$D$304,MATCH($A37,'Inventario General'!$A$5:$A$304,0))&amp;"","No está en el inventario"))</f>
        <v/>
      </c>
      <c r="D37" s="25" t="str">
        <f>IF($A37="","",IFERROR(INDEX('Inventario General'!$I$5:$I$304,MATCH($A37,'Inventario General'!$A$5:$A$304,0))&amp;"","No está en el inventario"))</f>
        <v/>
      </c>
      <c r="E37" s="26"/>
      <c r="F37" s="26"/>
      <c r="G37" s="26"/>
      <c r="H37" s="29"/>
      <c r="I37" s="29"/>
      <c r="J37" s="26"/>
      <c r="K37" s="26"/>
      <c r="L37" s="44"/>
      <c r="M37" s="26"/>
      <c r="N37" s="45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x14ac:dyDescent="0.25">
      <c r="A38" s="26"/>
      <c r="B38" s="25" t="str">
        <f>IF($A38="","",IFERROR(INDEX('Inventario General'!$C$5:$C$304,MATCH($A38,'Inventario General'!$A$5:$A$304,0))&amp;"","No está en el inventario"))</f>
        <v/>
      </c>
      <c r="C38" s="25" t="str">
        <f>IF($A38="","",IFERROR(INDEX('Inventario General'!$D$5:$D$304,MATCH($A38,'Inventario General'!$A$5:$A$304,0))&amp;"","No está en el inventario"))</f>
        <v/>
      </c>
      <c r="D38" s="25" t="str">
        <f>IF($A38="","",IFERROR(INDEX('Inventario General'!$I$5:$I$304,MATCH($A38,'Inventario General'!$A$5:$A$304,0))&amp;"","No está en el inventario"))</f>
        <v/>
      </c>
      <c r="E38" s="26"/>
      <c r="F38" s="26"/>
      <c r="G38" s="26"/>
      <c r="H38" s="29"/>
      <c r="I38" s="29"/>
      <c r="J38" s="26"/>
      <c r="K38" s="26"/>
      <c r="L38" s="44"/>
      <c r="M38" s="26"/>
      <c r="N38" s="45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x14ac:dyDescent="0.25">
      <c r="A39" s="26"/>
      <c r="B39" s="25" t="str">
        <f>IF($A39="","",IFERROR(INDEX('Inventario General'!$C$5:$C$304,MATCH($A39,'Inventario General'!$A$5:$A$304,0))&amp;"","No está en el inventario"))</f>
        <v/>
      </c>
      <c r="C39" s="25" t="str">
        <f>IF($A39="","",IFERROR(INDEX('Inventario General'!$D$5:$D$304,MATCH($A39,'Inventario General'!$A$5:$A$304,0))&amp;"","No está en el inventario"))</f>
        <v/>
      </c>
      <c r="D39" s="25" t="str">
        <f>IF($A39="","",IFERROR(INDEX('Inventario General'!$I$5:$I$304,MATCH($A39,'Inventario General'!$A$5:$A$304,0))&amp;"","No está en el inventario"))</f>
        <v/>
      </c>
      <c r="E39" s="26"/>
      <c r="F39" s="26"/>
      <c r="G39" s="26"/>
      <c r="H39" s="29"/>
      <c r="I39" s="29"/>
      <c r="J39" s="26"/>
      <c r="K39" s="26"/>
      <c r="L39" s="44"/>
      <c r="M39" s="26"/>
      <c r="N39" s="45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x14ac:dyDescent="0.25">
      <c r="A40" s="26"/>
      <c r="B40" s="25" t="str">
        <f>IF($A40="","",IFERROR(INDEX('Inventario General'!$C$5:$C$304,MATCH($A40,'Inventario General'!$A$5:$A$304,0))&amp;"","No está en el inventario"))</f>
        <v/>
      </c>
      <c r="C40" s="25" t="str">
        <f>IF($A40="","",IFERROR(INDEX('Inventario General'!$D$5:$D$304,MATCH($A40,'Inventario General'!$A$5:$A$304,0))&amp;"","No está en el inventario"))</f>
        <v/>
      </c>
      <c r="D40" s="25" t="str">
        <f>IF($A40="","",IFERROR(INDEX('Inventario General'!$I$5:$I$304,MATCH($A40,'Inventario General'!$A$5:$A$304,0))&amp;"","No está en el inventario"))</f>
        <v/>
      </c>
      <c r="E40" s="26"/>
      <c r="F40" s="26"/>
      <c r="G40" s="26"/>
      <c r="H40" s="29"/>
      <c r="I40" s="29"/>
      <c r="J40" s="26"/>
      <c r="K40" s="26"/>
      <c r="L40" s="44"/>
      <c r="M40" s="26"/>
      <c r="N40" s="45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x14ac:dyDescent="0.25">
      <c r="A41" s="26"/>
      <c r="B41" s="25" t="str">
        <f>IF($A41="","",IFERROR(INDEX('Inventario General'!$C$5:$C$304,MATCH($A41,'Inventario General'!$A$5:$A$304,0))&amp;"","No está en el inventario"))</f>
        <v/>
      </c>
      <c r="C41" s="25" t="str">
        <f>IF($A41="","",IFERROR(INDEX('Inventario General'!$D$5:$D$304,MATCH($A41,'Inventario General'!$A$5:$A$304,0))&amp;"","No está en el inventario"))</f>
        <v/>
      </c>
      <c r="D41" s="25" t="str">
        <f>IF($A41="","",IFERROR(INDEX('Inventario General'!$I$5:$I$304,MATCH($A41,'Inventario General'!$A$5:$A$304,0))&amp;"","No está en el inventario"))</f>
        <v/>
      </c>
      <c r="E41" s="26"/>
      <c r="F41" s="26"/>
      <c r="G41" s="26"/>
      <c r="H41" s="29"/>
      <c r="I41" s="29"/>
      <c r="J41" s="26"/>
      <c r="K41" s="26"/>
      <c r="L41" s="44"/>
      <c r="M41" s="26"/>
      <c r="N41" s="45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 x14ac:dyDescent="0.25">
      <c r="A42" s="26"/>
      <c r="B42" s="25" t="str">
        <f>IF($A42="","",IFERROR(INDEX('Inventario General'!$C$5:$C$304,MATCH($A42,'Inventario General'!$A$5:$A$304,0))&amp;"","No está en el inventario"))</f>
        <v/>
      </c>
      <c r="C42" s="25" t="str">
        <f>IF($A42="","",IFERROR(INDEX('Inventario General'!$D$5:$D$304,MATCH($A42,'Inventario General'!$A$5:$A$304,0))&amp;"","No está en el inventario"))</f>
        <v/>
      </c>
      <c r="D42" s="25" t="str">
        <f>IF($A42="","",IFERROR(INDEX('Inventario General'!$I$5:$I$304,MATCH($A42,'Inventario General'!$A$5:$A$304,0))&amp;"","No está en el inventario"))</f>
        <v/>
      </c>
      <c r="E42" s="26"/>
      <c r="F42" s="26"/>
      <c r="G42" s="26"/>
      <c r="H42" s="29"/>
      <c r="I42" s="29"/>
      <c r="J42" s="26"/>
      <c r="K42" s="26"/>
      <c r="L42" s="44"/>
      <c r="M42" s="26"/>
      <c r="N42" s="45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x14ac:dyDescent="0.25">
      <c r="A43" s="26"/>
      <c r="B43" s="25" t="str">
        <f>IF($A43="","",IFERROR(INDEX('Inventario General'!$C$5:$C$304,MATCH($A43,'Inventario General'!$A$5:$A$304,0))&amp;"","No está en el inventario"))</f>
        <v/>
      </c>
      <c r="C43" s="25" t="str">
        <f>IF($A43="","",IFERROR(INDEX('Inventario General'!$D$5:$D$304,MATCH($A43,'Inventario General'!$A$5:$A$304,0))&amp;"","No está en el inventario"))</f>
        <v/>
      </c>
      <c r="D43" s="25" t="str">
        <f>IF($A43="","",IFERROR(INDEX('Inventario General'!$I$5:$I$304,MATCH($A43,'Inventario General'!$A$5:$A$304,0))&amp;"","No está en el inventario"))</f>
        <v/>
      </c>
      <c r="E43" s="26"/>
      <c r="F43" s="26"/>
      <c r="G43" s="26"/>
      <c r="H43" s="29"/>
      <c r="I43" s="29"/>
      <c r="J43" s="26"/>
      <c r="K43" s="26"/>
      <c r="L43" s="44"/>
      <c r="M43" s="26"/>
      <c r="N43" s="45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 x14ac:dyDescent="0.25">
      <c r="A44" s="26"/>
      <c r="B44" s="25" t="str">
        <f>IF($A44="","",IFERROR(INDEX('Inventario General'!$C$5:$C$304,MATCH($A44,'Inventario General'!$A$5:$A$304,0))&amp;"","No está en el inventario"))</f>
        <v/>
      </c>
      <c r="C44" s="25" t="str">
        <f>IF($A44="","",IFERROR(INDEX('Inventario General'!$D$5:$D$304,MATCH($A44,'Inventario General'!$A$5:$A$304,0))&amp;"","No está en el inventario"))</f>
        <v/>
      </c>
      <c r="D44" s="25" t="str">
        <f>IF($A44="","",IFERROR(INDEX('Inventario General'!$I$5:$I$304,MATCH($A44,'Inventario General'!$A$5:$A$304,0))&amp;"","No está en el inventario"))</f>
        <v/>
      </c>
      <c r="E44" s="26"/>
      <c r="F44" s="26"/>
      <c r="G44" s="26"/>
      <c r="H44" s="29"/>
      <c r="I44" s="29"/>
      <c r="J44" s="26"/>
      <c r="K44" s="26"/>
      <c r="L44" s="44"/>
      <c r="M44" s="26"/>
      <c r="N44" s="45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 x14ac:dyDescent="0.25">
      <c r="A45" s="26"/>
      <c r="B45" s="25" t="str">
        <f>IF($A45="","",IFERROR(INDEX('Inventario General'!$C$5:$C$304,MATCH($A45,'Inventario General'!$A$5:$A$304,0))&amp;"","No está en el inventario"))</f>
        <v/>
      </c>
      <c r="C45" s="25" t="str">
        <f>IF($A45="","",IFERROR(INDEX('Inventario General'!$D$5:$D$304,MATCH($A45,'Inventario General'!$A$5:$A$304,0))&amp;"","No está en el inventario"))</f>
        <v/>
      </c>
      <c r="D45" s="25" t="str">
        <f>IF($A45="","",IFERROR(INDEX('Inventario General'!$I$5:$I$304,MATCH($A45,'Inventario General'!$A$5:$A$304,0))&amp;"","No está en el inventario"))</f>
        <v/>
      </c>
      <c r="E45" s="26"/>
      <c r="F45" s="26"/>
      <c r="G45" s="26"/>
      <c r="H45" s="29"/>
      <c r="I45" s="29"/>
      <c r="J45" s="26"/>
      <c r="K45" s="26"/>
      <c r="L45" s="44"/>
      <c r="M45" s="26"/>
      <c r="N45" s="45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 x14ac:dyDescent="0.25">
      <c r="A46" s="26"/>
      <c r="B46" s="25" t="str">
        <f>IF($A46="","",IFERROR(INDEX('Inventario General'!$C$5:$C$304,MATCH($A46,'Inventario General'!$A$5:$A$304,0))&amp;"","No está en el inventario"))</f>
        <v/>
      </c>
      <c r="C46" s="25" t="str">
        <f>IF($A46="","",IFERROR(INDEX('Inventario General'!$D$5:$D$304,MATCH($A46,'Inventario General'!$A$5:$A$304,0))&amp;"","No está en el inventario"))</f>
        <v/>
      </c>
      <c r="D46" s="25" t="str">
        <f>IF($A46="","",IFERROR(INDEX('Inventario General'!$I$5:$I$304,MATCH($A46,'Inventario General'!$A$5:$A$304,0))&amp;"","No está en el inventario"))</f>
        <v/>
      </c>
      <c r="E46" s="26"/>
      <c r="F46" s="26"/>
      <c r="G46" s="26"/>
      <c r="H46" s="29"/>
      <c r="I46" s="29"/>
      <c r="J46" s="26"/>
      <c r="K46" s="26"/>
      <c r="L46" s="44"/>
      <c r="M46" s="26"/>
      <c r="N46" s="45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 x14ac:dyDescent="0.25">
      <c r="A47" s="26"/>
      <c r="B47" s="25" t="str">
        <f>IF($A47="","",IFERROR(INDEX('Inventario General'!$C$5:$C$304,MATCH($A47,'Inventario General'!$A$5:$A$304,0))&amp;"","No está en el inventario"))</f>
        <v/>
      </c>
      <c r="C47" s="25" t="str">
        <f>IF($A47="","",IFERROR(INDEX('Inventario General'!$D$5:$D$304,MATCH($A47,'Inventario General'!$A$5:$A$304,0))&amp;"","No está en el inventario"))</f>
        <v/>
      </c>
      <c r="D47" s="25" t="str">
        <f>IF($A47="","",IFERROR(INDEX('Inventario General'!$I$5:$I$304,MATCH($A47,'Inventario General'!$A$5:$A$304,0))&amp;"","No está en el inventario"))</f>
        <v/>
      </c>
      <c r="E47" s="26"/>
      <c r="F47" s="26"/>
      <c r="G47" s="26"/>
      <c r="H47" s="29"/>
      <c r="I47" s="29"/>
      <c r="J47" s="26"/>
      <c r="K47" s="26"/>
      <c r="L47" s="44"/>
      <c r="M47" s="26"/>
      <c r="N47" s="45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x14ac:dyDescent="0.25">
      <c r="A48" s="26"/>
      <c r="B48" s="25" t="str">
        <f>IF($A48="","",IFERROR(INDEX('Inventario General'!$C$5:$C$304,MATCH($A48,'Inventario General'!$A$5:$A$304,0))&amp;"","No está en el inventario"))</f>
        <v/>
      </c>
      <c r="C48" s="25" t="str">
        <f>IF($A48="","",IFERROR(INDEX('Inventario General'!$D$5:$D$304,MATCH($A48,'Inventario General'!$A$5:$A$304,0))&amp;"","No está en el inventario"))</f>
        <v/>
      </c>
      <c r="D48" s="25" t="str">
        <f>IF($A48="","",IFERROR(INDEX('Inventario General'!$I$5:$I$304,MATCH($A48,'Inventario General'!$A$5:$A$304,0))&amp;"","No está en el inventario"))</f>
        <v/>
      </c>
      <c r="E48" s="26"/>
      <c r="F48" s="26"/>
      <c r="G48" s="26"/>
      <c r="H48" s="29"/>
      <c r="I48" s="29"/>
      <c r="J48" s="26"/>
      <c r="K48" s="26"/>
      <c r="L48" s="44"/>
      <c r="M48" s="26"/>
      <c r="N48" s="45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x14ac:dyDescent="0.25">
      <c r="A49" s="26"/>
      <c r="B49" s="25" t="str">
        <f>IF($A49="","",IFERROR(INDEX('Inventario General'!$C$5:$C$304,MATCH($A49,'Inventario General'!$A$5:$A$304,0))&amp;"","No está en el inventario"))</f>
        <v/>
      </c>
      <c r="C49" s="25" t="str">
        <f>IF($A49="","",IFERROR(INDEX('Inventario General'!$D$5:$D$304,MATCH($A49,'Inventario General'!$A$5:$A$304,0))&amp;"","No está en el inventario"))</f>
        <v/>
      </c>
      <c r="D49" s="25" t="str">
        <f>IF($A49="","",IFERROR(INDEX('Inventario General'!$I$5:$I$304,MATCH($A49,'Inventario General'!$A$5:$A$304,0))&amp;"","No está en el inventario"))</f>
        <v/>
      </c>
      <c r="E49" s="26"/>
      <c r="F49" s="26"/>
      <c r="G49" s="26"/>
      <c r="H49" s="29"/>
      <c r="I49" s="29"/>
      <c r="J49" s="26"/>
      <c r="K49" s="26"/>
      <c r="L49" s="44"/>
      <c r="M49" s="26"/>
      <c r="N49" s="45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 x14ac:dyDescent="0.25">
      <c r="A50" s="26"/>
      <c r="B50" s="25" t="str">
        <f>IF($A50="","",IFERROR(INDEX('Inventario General'!$C$5:$C$304,MATCH($A50,'Inventario General'!$A$5:$A$304,0))&amp;"","No está en el inventario"))</f>
        <v/>
      </c>
      <c r="C50" s="25" t="str">
        <f>IF($A50="","",IFERROR(INDEX('Inventario General'!$D$5:$D$304,MATCH($A50,'Inventario General'!$A$5:$A$304,0))&amp;"","No está en el inventario"))</f>
        <v/>
      </c>
      <c r="D50" s="25" t="str">
        <f>IF($A50="","",IFERROR(INDEX('Inventario General'!$I$5:$I$304,MATCH($A50,'Inventario General'!$A$5:$A$304,0))&amp;"","No está en el inventario"))</f>
        <v/>
      </c>
      <c r="E50" s="26"/>
      <c r="F50" s="26"/>
      <c r="G50" s="26"/>
      <c r="H50" s="29"/>
      <c r="I50" s="29"/>
      <c r="J50" s="26"/>
      <c r="K50" s="26"/>
      <c r="L50" s="44"/>
      <c r="M50" s="26"/>
      <c r="N50" s="45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 x14ac:dyDescent="0.25">
      <c r="A51" s="26"/>
      <c r="B51" s="25" t="str">
        <f>IF($A51="","",IFERROR(INDEX('Inventario General'!$C$5:$C$304,MATCH($A51,'Inventario General'!$A$5:$A$304,0))&amp;"","No está en el inventario"))</f>
        <v/>
      </c>
      <c r="C51" s="25" t="str">
        <f>IF($A51="","",IFERROR(INDEX('Inventario General'!$D$5:$D$304,MATCH($A51,'Inventario General'!$A$5:$A$304,0))&amp;"","No está en el inventario"))</f>
        <v/>
      </c>
      <c r="D51" s="25" t="str">
        <f>IF($A51="","",IFERROR(INDEX('Inventario General'!$I$5:$I$304,MATCH($A51,'Inventario General'!$A$5:$A$304,0))&amp;"","No está en el inventario"))</f>
        <v/>
      </c>
      <c r="E51" s="26"/>
      <c r="F51" s="26"/>
      <c r="G51" s="26"/>
      <c r="H51" s="29"/>
      <c r="I51" s="29"/>
      <c r="J51" s="26"/>
      <c r="K51" s="26"/>
      <c r="L51" s="44"/>
      <c r="M51" s="26"/>
      <c r="N51" s="45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 x14ac:dyDescent="0.25">
      <c r="A52" s="26"/>
      <c r="B52" s="25" t="str">
        <f>IF($A52="","",IFERROR(INDEX('Inventario General'!$C$5:$C$304,MATCH($A52,'Inventario General'!$A$5:$A$304,0))&amp;"","No está en el inventario"))</f>
        <v/>
      </c>
      <c r="C52" s="25" t="str">
        <f>IF($A52="","",IFERROR(INDEX('Inventario General'!$D$5:$D$304,MATCH($A52,'Inventario General'!$A$5:$A$304,0))&amp;"","No está en el inventario"))</f>
        <v/>
      </c>
      <c r="D52" s="25" t="str">
        <f>IF($A52="","",IFERROR(INDEX('Inventario General'!$I$5:$I$304,MATCH($A52,'Inventario General'!$A$5:$A$304,0))&amp;"","No está en el inventario"))</f>
        <v/>
      </c>
      <c r="E52" s="26"/>
      <c r="F52" s="26"/>
      <c r="G52" s="26"/>
      <c r="H52" s="29"/>
      <c r="I52" s="29"/>
      <c r="J52" s="26"/>
      <c r="K52" s="26"/>
      <c r="L52" s="44"/>
      <c r="M52" s="26"/>
      <c r="N52" s="45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 x14ac:dyDescent="0.25">
      <c r="A53" s="26"/>
      <c r="B53" s="25" t="str">
        <f>IF($A53="","",IFERROR(INDEX('Inventario General'!$C$5:$C$304,MATCH($A53,'Inventario General'!$A$5:$A$304,0))&amp;"","No está en el inventario"))</f>
        <v/>
      </c>
      <c r="C53" s="25" t="str">
        <f>IF($A53="","",IFERROR(INDEX('Inventario General'!$D$5:$D$304,MATCH($A53,'Inventario General'!$A$5:$A$304,0))&amp;"","No está en el inventario"))</f>
        <v/>
      </c>
      <c r="D53" s="25" t="str">
        <f>IF($A53="","",IFERROR(INDEX('Inventario General'!$I$5:$I$304,MATCH($A53,'Inventario General'!$A$5:$A$304,0))&amp;"","No está en el inventario"))</f>
        <v/>
      </c>
      <c r="E53" s="26"/>
      <c r="F53" s="26"/>
      <c r="G53" s="26"/>
      <c r="H53" s="29"/>
      <c r="I53" s="29"/>
      <c r="J53" s="26"/>
      <c r="K53" s="26"/>
      <c r="L53" s="44"/>
      <c r="M53" s="26"/>
      <c r="N53" s="45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 x14ac:dyDescent="0.25">
      <c r="A54" s="26"/>
      <c r="B54" s="25" t="str">
        <f>IF($A54="","",IFERROR(INDEX('Inventario General'!$C$5:$C$304,MATCH($A54,'Inventario General'!$A$5:$A$304,0))&amp;"","No está en el inventario"))</f>
        <v/>
      </c>
      <c r="C54" s="25" t="str">
        <f>IF($A54="","",IFERROR(INDEX('Inventario General'!$D$5:$D$304,MATCH($A54,'Inventario General'!$A$5:$A$304,0))&amp;"","No está en el inventario"))</f>
        <v/>
      </c>
      <c r="D54" s="25" t="str">
        <f>IF($A54="","",IFERROR(INDEX('Inventario General'!$I$5:$I$304,MATCH($A54,'Inventario General'!$A$5:$A$304,0))&amp;"","No está en el inventario"))</f>
        <v/>
      </c>
      <c r="E54" s="26"/>
      <c r="F54" s="26"/>
      <c r="G54" s="26"/>
      <c r="H54" s="29"/>
      <c r="I54" s="29"/>
      <c r="J54" s="26"/>
      <c r="K54" s="26"/>
      <c r="L54" s="44"/>
      <c r="M54" s="26"/>
      <c r="N54" s="45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 x14ac:dyDescent="0.25">
      <c r="A55" s="26"/>
      <c r="B55" s="25" t="str">
        <f>IF($A55="","",IFERROR(INDEX('Inventario General'!$C$5:$C$304,MATCH($A55,'Inventario General'!$A$5:$A$304,0))&amp;"","No está en el inventario"))</f>
        <v/>
      </c>
      <c r="C55" s="25" t="str">
        <f>IF($A55="","",IFERROR(INDEX('Inventario General'!$D$5:$D$304,MATCH($A55,'Inventario General'!$A$5:$A$304,0))&amp;"","No está en el inventario"))</f>
        <v/>
      </c>
      <c r="D55" s="25" t="str">
        <f>IF($A55="","",IFERROR(INDEX('Inventario General'!$I$5:$I$304,MATCH($A55,'Inventario General'!$A$5:$A$304,0))&amp;"","No está en el inventario"))</f>
        <v/>
      </c>
      <c r="E55" s="26"/>
      <c r="F55" s="26"/>
      <c r="G55" s="26"/>
      <c r="H55" s="29"/>
      <c r="I55" s="29"/>
      <c r="J55" s="26"/>
      <c r="K55" s="26"/>
      <c r="L55" s="44"/>
      <c r="M55" s="26"/>
      <c r="N55" s="45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 x14ac:dyDescent="0.25">
      <c r="A56" s="26"/>
      <c r="B56" s="25" t="str">
        <f>IF($A56="","",IFERROR(INDEX('Inventario General'!$C$5:$C$304,MATCH($A56,'Inventario General'!$A$5:$A$304,0))&amp;"","No está en el inventario"))</f>
        <v/>
      </c>
      <c r="C56" s="25" t="str">
        <f>IF($A56="","",IFERROR(INDEX('Inventario General'!$D$5:$D$304,MATCH($A56,'Inventario General'!$A$5:$A$304,0))&amp;"","No está en el inventario"))</f>
        <v/>
      </c>
      <c r="D56" s="25" t="str">
        <f>IF($A56="","",IFERROR(INDEX('Inventario General'!$I$5:$I$304,MATCH($A56,'Inventario General'!$A$5:$A$304,0))&amp;"","No está en el inventario"))</f>
        <v/>
      </c>
      <c r="E56" s="26"/>
      <c r="F56" s="26"/>
      <c r="G56" s="26"/>
      <c r="H56" s="29"/>
      <c r="I56" s="29"/>
      <c r="J56" s="26"/>
      <c r="K56" s="26"/>
      <c r="L56" s="44"/>
      <c r="M56" s="26"/>
      <c r="N56" s="45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x14ac:dyDescent="0.25">
      <c r="A57" s="26"/>
      <c r="B57" s="25" t="str">
        <f>IF($A57="","",IFERROR(INDEX('Inventario General'!$C$5:$C$304,MATCH($A57,'Inventario General'!$A$5:$A$304,0))&amp;"","No está en el inventario"))</f>
        <v/>
      </c>
      <c r="C57" s="25" t="str">
        <f>IF($A57="","",IFERROR(INDEX('Inventario General'!$D$5:$D$304,MATCH($A57,'Inventario General'!$A$5:$A$304,0))&amp;"","No está en el inventario"))</f>
        <v/>
      </c>
      <c r="D57" s="25" t="str">
        <f>IF($A57="","",IFERROR(INDEX('Inventario General'!$I$5:$I$304,MATCH($A57,'Inventario General'!$A$5:$A$304,0))&amp;"","No está en el inventario"))</f>
        <v/>
      </c>
      <c r="E57" s="26"/>
      <c r="F57" s="26"/>
      <c r="G57" s="26"/>
      <c r="H57" s="29"/>
      <c r="I57" s="29"/>
      <c r="J57" s="26"/>
      <c r="K57" s="26"/>
      <c r="L57" s="44"/>
      <c r="M57" s="26"/>
      <c r="N57" s="45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 x14ac:dyDescent="0.25">
      <c r="A58" s="26"/>
      <c r="B58" s="25" t="str">
        <f>IF($A58="","",IFERROR(INDEX('Inventario General'!$C$5:$C$304,MATCH($A58,'Inventario General'!$A$5:$A$304,0))&amp;"","No está en el inventario"))</f>
        <v/>
      </c>
      <c r="C58" s="25" t="str">
        <f>IF($A58="","",IFERROR(INDEX('Inventario General'!$D$5:$D$304,MATCH($A58,'Inventario General'!$A$5:$A$304,0))&amp;"","No está en el inventario"))</f>
        <v/>
      </c>
      <c r="D58" s="25" t="str">
        <f>IF($A58="","",IFERROR(INDEX('Inventario General'!$I$5:$I$304,MATCH($A58,'Inventario General'!$A$5:$A$304,0))&amp;"","No está en el inventario"))</f>
        <v/>
      </c>
      <c r="E58" s="26"/>
      <c r="F58" s="26"/>
      <c r="G58" s="26"/>
      <c r="H58" s="29"/>
      <c r="I58" s="29"/>
      <c r="J58" s="26"/>
      <c r="K58" s="26"/>
      <c r="L58" s="44"/>
      <c r="M58" s="26"/>
      <c r="N58" s="45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 x14ac:dyDescent="0.25">
      <c r="A59" s="26"/>
      <c r="B59" s="25" t="str">
        <f>IF($A59="","",IFERROR(INDEX('Inventario General'!$C$5:$C$304,MATCH($A59,'Inventario General'!$A$5:$A$304,0))&amp;"","No está en el inventario"))</f>
        <v/>
      </c>
      <c r="C59" s="25" t="str">
        <f>IF($A59="","",IFERROR(INDEX('Inventario General'!$D$5:$D$304,MATCH($A59,'Inventario General'!$A$5:$A$304,0))&amp;"","No está en el inventario"))</f>
        <v/>
      </c>
      <c r="D59" s="25" t="str">
        <f>IF($A59="","",IFERROR(INDEX('Inventario General'!$I$5:$I$304,MATCH($A59,'Inventario General'!$A$5:$A$304,0))&amp;"","No está en el inventario"))</f>
        <v/>
      </c>
      <c r="E59" s="26"/>
      <c r="F59" s="26"/>
      <c r="G59" s="26"/>
      <c r="H59" s="29"/>
      <c r="I59" s="29"/>
      <c r="J59" s="26"/>
      <c r="K59" s="26"/>
      <c r="L59" s="44"/>
      <c r="M59" s="26"/>
      <c r="N59" s="45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 x14ac:dyDescent="0.25">
      <c r="A60" s="26"/>
      <c r="B60" s="25" t="str">
        <f>IF($A60="","",IFERROR(INDEX('Inventario General'!$C$5:$C$304,MATCH($A60,'Inventario General'!$A$5:$A$304,0))&amp;"","No está en el inventario"))</f>
        <v/>
      </c>
      <c r="C60" s="25" t="str">
        <f>IF($A60="","",IFERROR(INDEX('Inventario General'!$D$5:$D$304,MATCH($A60,'Inventario General'!$A$5:$A$304,0))&amp;"","No está en el inventario"))</f>
        <v/>
      </c>
      <c r="D60" s="25" t="str">
        <f>IF($A60="","",IFERROR(INDEX('Inventario General'!$I$5:$I$304,MATCH($A60,'Inventario General'!$A$5:$A$304,0))&amp;"","No está en el inventario"))</f>
        <v/>
      </c>
      <c r="E60" s="26"/>
      <c r="F60" s="26"/>
      <c r="G60" s="26"/>
      <c r="H60" s="29"/>
      <c r="I60" s="29"/>
      <c r="J60" s="26"/>
      <c r="K60" s="26"/>
      <c r="L60" s="44"/>
      <c r="M60" s="26"/>
      <c r="N60" s="45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 x14ac:dyDescent="0.25">
      <c r="A61" s="26"/>
      <c r="B61" s="25" t="str">
        <f>IF($A61="","",IFERROR(INDEX('Inventario General'!$C$5:$C$304,MATCH($A61,'Inventario General'!$A$5:$A$304,0))&amp;"","No está en el inventario"))</f>
        <v/>
      </c>
      <c r="C61" s="25" t="str">
        <f>IF($A61="","",IFERROR(INDEX('Inventario General'!$D$5:$D$304,MATCH($A61,'Inventario General'!$A$5:$A$304,0))&amp;"","No está en el inventario"))</f>
        <v/>
      </c>
      <c r="D61" s="25" t="str">
        <f>IF($A61="","",IFERROR(INDEX('Inventario General'!$I$5:$I$304,MATCH($A61,'Inventario General'!$A$5:$A$304,0))&amp;"","No está en el inventario"))</f>
        <v/>
      </c>
      <c r="E61" s="26"/>
      <c r="F61" s="26"/>
      <c r="G61" s="26"/>
      <c r="H61" s="29"/>
      <c r="I61" s="29"/>
      <c r="J61" s="26"/>
      <c r="K61" s="26"/>
      <c r="L61" s="44"/>
      <c r="M61" s="26"/>
      <c r="N61" s="45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x14ac:dyDescent="0.25">
      <c r="A62" s="26"/>
      <c r="B62" s="25" t="str">
        <f>IF($A62="","",IFERROR(INDEX('Inventario General'!$C$5:$C$304,MATCH($A62,'Inventario General'!$A$5:$A$304,0))&amp;"","No está en el inventario"))</f>
        <v/>
      </c>
      <c r="C62" s="25" t="str">
        <f>IF($A62="","",IFERROR(INDEX('Inventario General'!$D$5:$D$304,MATCH($A62,'Inventario General'!$A$5:$A$304,0))&amp;"","No está en el inventario"))</f>
        <v/>
      </c>
      <c r="D62" s="25" t="str">
        <f>IF($A62="","",IFERROR(INDEX('Inventario General'!$I$5:$I$304,MATCH($A62,'Inventario General'!$A$5:$A$304,0))&amp;"","No está en el inventario"))</f>
        <v/>
      </c>
      <c r="E62" s="26"/>
      <c r="F62" s="26"/>
      <c r="G62" s="26"/>
      <c r="H62" s="29"/>
      <c r="I62" s="29"/>
      <c r="J62" s="26"/>
      <c r="K62" s="26"/>
      <c r="L62" s="44"/>
      <c r="M62" s="26"/>
      <c r="N62" s="45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 x14ac:dyDescent="0.25">
      <c r="A63" s="26"/>
      <c r="B63" s="25" t="str">
        <f>IF($A63="","",IFERROR(INDEX('Inventario General'!$C$5:$C$304,MATCH($A63,'Inventario General'!$A$5:$A$304,0))&amp;"","No está en el inventario"))</f>
        <v/>
      </c>
      <c r="C63" s="25" t="str">
        <f>IF($A63="","",IFERROR(INDEX('Inventario General'!$D$5:$D$304,MATCH($A63,'Inventario General'!$A$5:$A$304,0))&amp;"","No está en el inventario"))</f>
        <v/>
      </c>
      <c r="D63" s="25" t="str">
        <f>IF($A63="","",IFERROR(INDEX('Inventario General'!$I$5:$I$304,MATCH($A63,'Inventario General'!$A$5:$A$304,0))&amp;"","No está en el inventario"))</f>
        <v/>
      </c>
      <c r="E63" s="26"/>
      <c r="F63" s="26"/>
      <c r="G63" s="26"/>
      <c r="H63" s="29"/>
      <c r="I63" s="29"/>
      <c r="J63" s="26"/>
      <c r="K63" s="26"/>
      <c r="L63" s="44"/>
      <c r="M63" s="26"/>
      <c r="N63" s="45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 x14ac:dyDescent="0.25">
      <c r="A64" s="26"/>
      <c r="B64" s="25" t="str">
        <f>IF($A64="","",IFERROR(INDEX('Inventario General'!$C$5:$C$304,MATCH($A64,'Inventario General'!$A$5:$A$304,0))&amp;"","No está en el inventario"))</f>
        <v/>
      </c>
      <c r="C64" s="25" t="str">
        <f>IF($A64="","",IFERROR(INDEX('Inventario General'!$D$5:$D$304,MATCH($A64,'Inventario General'!$A$5:$A$304,0))&amp;"","No está en el inventario"))</f>
        <v/>
      </c>
      <c r="D64" s="25" t="str">
        <f>IF($A64="","",IFERROR(INDEX('Inventario General'!$I$5:$I$304,MATCH($A64,'Inventario General'!$A$5:$A$304,0))&amp;"","No está en el inventario"))</f>
        <v/>
      </c>
      <c r="E64" s="26"/>
      <c r="F64" s="26"/>
      <c r="G64" s="26"/>
      <c r="H64" s="29"/>
      <c r="I64" s="29"/>
      <c r="J64" s="26"/>
      <c r="K64" s="26"/>
      <c r="L64" s="44"/>
      <c r="M64" s="26"/>
      <c r="N64" s="45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 x14ac:dyDescent="0.25">
      <c r="A65" s="26"/>
      <c r="B65" s="25" t="str">
        <f>IF($A65="","",IFERROR(INDEX('Inventario General'!$C$5:$C$304,MATCH($A65,'Inventario General'!$A$5:$A$304,0))&amp;"","No está en el inventario"))</f>
        <v/>
      </c>
      <c r="C65" s="25" t="str">
        <f>IF($A65="","",IFERROR(INDEX('Inventario General'!$D$5:$D$304,MATCH($A65,'Inventario General'!$A$5:$A$304,0))&amp;"","No está en el inventario"))</f>
        <v/>
      </c>
      <c r="D65" s="25" t="str">
        <f>IF($A65="","",IFERROR(INDEX('Inventario General'!$I$5:$I$304,MATCH($A65,'Inventario General'!$A$5:$A$304,0))&amp;"","No está en el inventario"))</f>
        <v/>
      </c>
      <c r="E65" s="26"/>
      <c r="F65" s="26"/>
      <c r="G65" s="26"/>
      <c r="H65" s="29"/>
      <c r="I65" s="29"/>
      <c r="J65" s="26"/>
      <c r="K65" s="26"/>
      <c r="L65" s="44"/>
      <c r="M65" s="26"/>
      <c r="N65" s="45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 x14ac:dyDescent="0.25">
      <c r="A66" s="26"/>
      <c r="B66" s="25" t="str">
        <f>IF($A66="","",IFERROR(INDEX('Inventario General'!$C$5:$C$304,MATCH($A66,'Inventario General'!$A$5:$A$304,0))&amp;"","No está en el inventario"))</f>
        <v/>
      </c>
      <c r="C66" s="25" t="str">
        <f>IF($A66="","",IFERROR(INDEX('Inventario General'!$D$5:$D$304,MATCH($A66,'Inventario General'!$A$5:$A$304,0))&amp;"","No está en el inventario"))</f>
        <v/>
      </c>
      <c r="D66" s="25" t="str">
        <f>IF($A66="","",IFERROR(INDEX('Inventario General'!$I$5:$I$304,MATCH($A66,'Inventario General'!$A$5:$A$304,0))&amp;"","No está en el inventario"))</f>
        <v/>
      </c>
      <c r="E66" s="26"/>
      <c r="F66" s="26"/>
      <c r="G66" s="26"/>
      <c r="H66" s="29"/>
      <c r="I66" s="29"/>
      <c r="J66" s="26"/>
      <c r="K66" s="26"/>
      <c r="L66" s="44"/>
      <c r="M66" s="26"/>
      <c r="N66" s="45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 x14ac:dyDescent="0.25">
      <c r="A67" s="26"/>
      <c r="B67" s="25" t="str">
        <f>IF($A67="","",IFERROR(INDEX('Inventario General'!$C$5:$C$304,MATCH($A67,'Inventario General'!$A$5:$A$304,0))&amp;"","No está en el inventario"))</f>
        <v/>
      </c>
      <c r="C67" s="25" t="str">
        <f>IF($A67="","",IFERROR(INDEX('Inventario General'!$D$5:$D$304,MATCH($A67,'Inventario General'!$A$5:$A$304,0))&amp;"","No está en el inventario"))</f>
        <v/>
      </c>
      <c r="D67" s="25" t="str">
        <f>IF($A67="","",IFERROR(INDEX('Inventario General'!$I$5:$I$304,MATCH($A67,'Inventario General'!$A$5:$A$304,0))&amp;"","No está en el inventario"))</f>
        <v/>
      </c>
      <c r="E67" s="26"/>
      <c r="F67" s="26"/>
      <c r="G67" s="26"/>
      <c r="H67" s="29"/>
      <c r="I67" s="29"/>
      <c r="J67" s="26"/>
      <c r="K67" s="26"/>
      <c r="L67" s="44"/>
      <c r="M67" s="26"/>
      <c r="N67" s="45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 x14ac:dyDescent="0.25">
      <c r="A68" s="26"/>
      <c r="B68" s="25" t="str">
        <f>IF($A68="","",IFERROR(INDEX('Inventario General'!$C$5:$C$304,MATCH($A68,'Inventario General'!$A$5:$A$304,0))&amp;"","No está en el inventario"))</f>
        <v/>
      </c>
      <c r="C68" s="25" t="str">
        <f>IF($A68="","",IFERROR(INDEX('Inventario General'!$D$5:$D$304,MATCH($A68,'Inventario General'!$A$5:$A$304,0))&amp;"","No está en el inventario"))</f>
        <v/>
      </c>
      <c r="D68" s="25" t="str">
        <f>IF($A68="","",IFERROR(INDEX('Inventario General'!$I$5:$I$304,MATCH($A68,'Inventario General'!$A$5:$A$304,0))&amp;"","No está en el inventario"))</f>
        <v/>
      </c>
      <c r="E68" s="26"/>
      <c r="F68" s="26"/>
      <c r="G68" s="26"/>
      <c r="H68" s="29"/>
      <c r="I68" s="29"/>
      <c r="J68" s="26"/>
      <c r="K68" s="26"/>
      <c r="L68" s="44"/>
      <c r="M68" s="26"/>
      <c r="N68" s="45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 x14ac:dyDescent="0.25">
      <c r="A69" s="26"/>
      <c r="B69" s="25" t="str">
        <f>IF($A69="","",IFERROR(INDEX('Inventario General'!$C$5:$C$304,MATCH($A69,'Inventario General'!$A$5:$A$304,0))&amp;"","No está en el inventario"))</f>
        <v/>
      </c>
      <c r="C69" s="25" t="str">
        <f>IF($A69="","",IFERROR(INDEX('Inventario General'!$D$5:$D$304,MATCH($A69,'Inventario General'!$A$5:$A$304,0))&amp;"","No está en el inventario"))</f>
        <v/>
      </c>
      <c r="D69" s="25" t="str">
        <f>IF($A69="","",IFERROR(INDEX('Inventario General'!$I$5:$I$304,MATCH($A69,'Inventario General'!$A$5:$A$304,0))&amp;"","No está en el inventario"))</f>
        <v/>
      </c>
      <c r="E69" s="26"/>
      <c r="F69" s="26"/>
      <c r="G69" s="26"/>
      <c r="H69" s="29"/>
      <c r="I69" s="29"/>
      <c r="J69" s="26"/>
      <c r="K69" s="26"/>
      <c r="L69" s="44"/>
      <c r="M69" s="26"/>
      <c r="N69" s="45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 x14ac:dyDescent="0.25">
      <c r="A70" s="26"/>
      <c r="B70" s="25" t="str">
        <f>IF($A70="","",IFERROR(INDEX('Inventario General'!$C$5:$C$304,MATCH($A70,'Inventario General'!$A$5:$A$304,0))&amp;"","No está en el inventario"))</f>
        <v/>
      </c>
      <c r="C70" s="25" t="str">
        <f>IF($A70="","",IFERROR(INDEX('Inventario General'!$D$5:$D$304,MATCH($A70,'Inventario General'!$A$5:$A$304,0))&amp;"","No está en el inventario"))</f>
        <v/>
      </c>
      <c r="D70" s="25" t="str">
        <f>IF($A70="","",IFERROR(INDEX('Inventario General'!$I$5:$I$304,MATCH($A70,'Inventario General'!$A$5:$A$304,0))&amp;"","No está en el inventario"))</f>
        <v/>
      </c>
      <c r="E70" s="26"/>
      <c r="F70" s="26"/>
      <c r="G70" s="26"/>
      <c r="H70" s="29"/>
      <c r="I70" s="29"/>
      <c r="J70" s="26"/>
      <c r="K70" s="26"/>
      <c r="L70" s="44"/>
      <c r="M70" s="26"/>
      <c r="N70" s="45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 x14ac:dyDescent="0.25">
      <c r="A71" s="26"/>
      <c r="B71" s="25" t="str">
        <f>IF($A71="","",IFERROR(INDEX('Inventario General'!$C$5:$C$304,MATCH($A71,'Inventario General'!$A$5:$A$304,0))&amp;"","No está en el inventario"))</f>
        <v/>
      </c>
      <c r="C71" s="25" t="str">
        <f>IF($A71="","",IFERROR(INDEX('Inventario General'!$D$5:$D$304,MATCH($A71,'Inventario General'!$A$5:$A$304,0))&amp;"","No está en el inventario"))</f>
        <v/>
      </c>
      <c r="D71" s="25" t="str">
        <f>IF($A71="","",IFERROR(INDEX('Inventario General'!$I$5:$I$304,MATCH($A71,'Inventario General'!$A$5:$A$304,0))&amp;"","No está en el inventario"))</f>
        <v/>
      </c>
      <c r="E71" s="26"/>
      <c r="F71" s="26"/>
      <c r="G71" s="26"/>
      <c r="H71" s="29"/>
      <c r="I71" s="29"/>
      <c r="J71" s="26"/>
      <c r="K71" s="26"/>
      <c r="L71" s="44"/>
      <c r="M71" s="26"/>
      <c r="N71" s="45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 x14ac:dyDescent="0.25">
      <c r="A72" s="26"/>
      <c r="B72" s="25" t="str">
        <f>IF($A72="","",IFERROR(INDEX('Inventario General'!$C$5:$C$304,MATCH($A72,'Inventario General'!$A$5:$A$304,0))&amp;"","No está en el inventario"))</f>
        <v/>
      </c>
      <c r="C72" s="25" t="str">
        <f>IF($A72="","",IFERROR(INDEX('Inventario General'!$D$5:$D$304,MATCH($A72,'Inventario General'!$A$5:$A$304,0))&amp;"","No está en el inventario"))</f>
        <v/>
      </c>
      <c r="D72" s="25" t="str">
        <f>IF($A72="","",IFERROR(INDEX('Inventario General'!$I$5:$I$304,MATCH($A72,'Inventario General'!$A$5:$A$304,0))&amp;"","No está en el inventario"))</f>
        <v/>
      </c>
      <c r="E72" s="26"/>
      <c r="F72" s="26"/>
      <c r="G72" s="26"/>
      <c r="H72" s="29"/>
      <c r="I72" s="29"/>
      <c r="J72" s="26"/>
      <c r="K72" s="26"/>
      <c r="L72" s="44"/>
      <c r="M72" s="26"/>
      <c r="N72" s="45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 x14ac:dyDescent="0.25">
      <c r="A73" s="26"/>
      <c r="B73" s="25" t="str">
        <f>IF($A73="","",IFERROR(INDEX('Inventario General'!$C$5:$C$304,MATCH($A73,'Inventario General'!$A$5:$A$304,0))&amp;"","No está en el inventario"))</f>
        <v/>
      </c>
      <c r="C73" s="25" t="str">
        <f>IF($A73="","",IFERROR(INDEX('Inventario General'!$D$5:$D$304,MATCH($A73,'Inventario General'!$A$5:$A$304,0))&amp;"","No está en el inventario"))</f>
        <v/>
      </c>
      <c r="D73" s="25" t="str">
        <f>IF($A73="","",IFERROR(INDEX('Inventario General'!$I$5:$I$304,MATCH($A73,'Inventario General'!$A$5:$A$304,0))&amp;"","No está en el inventario"))</f>
        <v/>
      </c>
      <c r="E73" s="26"/>
      <c r="F73" s="26"/>
      <c r="G73" s="26"/>
      <c r="H73" s="29"/>
      <c r="I73" s="29"/>
      <c r="J73" s="26"/>
      <c r="K73" s="26"/>
      <c r="L73" s="44"/>
      <c r="M73" s="26"/>
      <c r="N73" s="45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 x14ac:dyDescent="0.25">
      <c r="A74" s="26"/>
      <c r="B74" s="25" t="str">
        <f>IF($A74="","",IFERROR(INDEX('Inventario General'!$C$5:$C$304,MATCH($A74,'Inventario General'!$A$5:$A$304,0))&amp;"","No está en el inventario"))</f>
        <v/>
      </c>
      <c r="C74" s="25" t="str">
        <f>IF($A74="","",IFERROR(INDEX('Inventario General'!$D$5:$D$304,MATCH($A74,'Inventario General'!$A$5:$A$304,0))&amp;"","No está en el inventario"))</f>
        <v/>
      </c>
      <c r="D74" s="25" t="str">
        <f>IF($A74="","",IFERROR(INDEX('Inventario General'!$I$5:$I$304,MATCH($A74,'Inventario General'!$A$5:$A$304,0))&amp;"","No está en el inventario"))</f>
        <v/>
      </c>
      <c r="E74" s="26"/>
      <c r="F74" s="26"/>
      <c r="G74" s="26"/>
      <c r="H74" s="29"/>
      <c r="I74" s="29"/>
      <c r="J74" s="26"/>
      <c r="K74" s="26"/>
      <c r="L74" s="44"/>
      <c r="M74" s="26"/>
      <c r="N74" s="45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 x14ac:dyDescent="0.25">
      <c r="A75" s="26"/>
      <c r="B75" s="25" t="str">
        <f>IF($A75="","",IFERROR(INDEX('Inventario General'!$C$5:$C$304,MATCH($A75,'Inventario General'!$A$5:$A$304,0))&amp;"","No está en el inventario"))</f>
        <v/>
      </c>
      <c r="C75" s="25" t="str">
        <f>IF($A75="","",IFERROR(INDEX('Inventario General'!$D$5:$D$304,MATCH($A75,'Inventario General'!$A$5:$A$304,0))&amp;"","No está en el inventario"))</f>
        <v/>
      </c>
      <c r="D75" s="25" t="str">
        <f>IF($A75="","",IFERROR(INDEX('Inventario General'!$I$5:$I$304,MATCH($A75,'Inventario General'!$A$5:$A$304,0))&amp;"","No está en el inventario"))</f>
        <v/>
      </c>
      <c r="E75" s="26"/>
      <c r="F75" s="26"/>
      <c r="G75" s="26"/>
      <c r="H75" s="29"/>
      <c r="I75" s="29"/>
      <c r="J75" s="26"/>
      <c r="K75" s="26"/>
      <c r="L75" s="44"/>
      <c r="M75" s="26"/>
      <c r="N75" s="45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 x14ac:dyDescent="0.25">
      <c r="A76" s="26"/>
      <c r="B76" s="25" t="str">
        <f>IF($A76="","",IFERROR(INDEX('Inventario General'!$C$5:$C$304,MATCH($A76,'Inventario General'!$A$5:$A$304,0))&amp;"","No está en el inventario"))</f>
        <v/>
      </c>
      <c r="C76" s="25" t="str">
        <f>IF($A76="","",IFERROR(INDEX('Inventario General'!$D$5:$D$304,MATCH($A76,'Inventario General'!$A$5:$A$304,0))&amp;"","No está en el inventario"))</f>
        <v/>
      </c>
      <c r="D76" s="25" t="str">
        <f>IF($A76="","",IFERROR(INDEX('Inventario General'!$I$5:$I$304,MATCH($A76,'Inventario General'!$A$5:$A$304,0))&amp;"","No está en el inventario"))</f>
        <v/>
      </c>
      <c r="E76" s="26"/>
      <c r="F76" s="26"/>
      <c r="G76" s="26"/>
      <c r="H76" s="29"/>
      <c r="I76" s="29"/>
      <c r="J76" s="26"/>
      <c r="K76" s="26"/>
      <c r="L76" s="44"/>
      <c r="M76" s="26"/>
      <c r="N76" s="45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x14ac:dyDescent="0.25">
      <c r="A77" s="26"/>
      <c r="B77" s="25" t="str">
        <f>IF($A77="","",IFERROR(INDEX('Inventario General'!$C$5:$C$304,MATCH($A77,'Inventario General'!$A$5:$A$304,0))&amp;"","No está en el inventario"))</f>
        <v/>
      </c>
      <c r="C77" s="25" t="str">
        <f>IF($A77="","",IFERROR(INDEX('Inventario General'!$D$5:$D$304,MATCH($A77,'Inventario General'!$A$5:$A$304,0))&amp;"","No está en el inventario"))</f>
        <v/>
      </c>
      <c r="D77" s="25" t="str">
        <f>IF($A77="","",IFERROR(INDEX('Inventario General'!$I$5:$I$304,MATCH($A77,'Inventario General'!$A$5:$A$304,0))&amp;"","No está en el inventario"))</f>
        <v/>
      </c>
      <c r="E77" s="26"/>
      <c r="F77" s="26"/>
      <c r="G77" s="26"/>
      <c r="H77" s="29"/>
      <c r="I77" s="29"/>
      <c r="J77" s="26"/>
      <c r="K77" s="26"/>
      <c r="L77" s="44"/>
      <c r="M77" s="26"/>
      <c r="N77" s="45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 x14ac:dyDescent="0.25">
      <c r="A78" s="26"/>
      <c r="B78" s="25" t="str">
        <f>IF($A78="","",IFERROR(INDEX('Inventario General'!$C$5:$C$304,MATCH($A78,'Inventario General'!$A$5:$A$304,0))&amp;"","No está en el inventario"))</f>
        <v/>
      </c>
      <c r="C78" s="25" t="str">
        <f>IF($A78="","",IFERROR(INDEX('Inventario General'!$D$5:$D$304,MATCH($A78,'Inventario General'!$A$5:$A$304,0))&amp;"","No está en el inventario"))</f>
        <v/>
      </c>
      <c r="D78" s="25" t="str">
        <f>IF($A78="","",IFERROR(INDEX('Inventario General'!$I$5:$I$304,MATCH($A78,'Inventario General'!$A$5:$A$304,0))&amp;"","No está en el inventario"))</f>
        <v/>
      </c>
      <c r="E78" s="26"/>
      <c r="F78" s="26"/>
      <c r="G78" s="26"/>
      <c r="H78" s="29"/>
      <c r="I78" s="29"/>
      <c r="J78" s="26"/>
      <c r="K78" s="26"/>
      <c r="L78" s="44"/>
      <c r="M78" s="26"/>
      <c r="N78" s="45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 x14ac:dyDescent="0.25">
      <c r="A79" s="26"/>
      <c r="B79" s="25" t="str">
        <f>IF($A79="","",IFERROR(INDEX('Inventario General'!$C$5:$C$304,MATCH($A79,'Inventario General'!$A$5:$A$304,0))&amp;"","No está en el inventario"))</f>
        <v/>
      </c>
      <c r="C79" s="25" t="str">
        <f>IF($A79="","",IFERROR(INDEX('Inventario General'!$D$5:$D$304,MATCH($A79,'Inventario General'!$A$5:$A$304,0))&amp;"","No está en el inventario"))</f>
        <v/>
      </c>
      <c r="D79" s="25" t="str">
        <f>IF($A79="","",IFERROR(INDEX('Inventario General'!$I$5:$I$304,MATCH($A79,'Inventario General'!$A$5:$A$304,0))&amp;"","No está en el inventario"))</f>
        <v/>
      </c>
      <c r="E79" s="26"/>
      <c r="F79" s="26"/>
      <c r="G79" s="26"/>
      <c r="H79" s="29"/>
      <c r="I79" s="29"/>
      <c r="J79" s="26"/>
      <c r="K79" s="26"/>
      <c r="L79" s="44"/>
      <c r="M79" s="26"/>
      <c r="N79" s="45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 x14ac:dyDescent="0.25">
      <c r="A80" s="26"/>
      <c r="B80" s="25" t="str">
        <f>IF($A80="","",IFERROR(INDEX('Inventario General'!$C$5:$C$304,MATCH($A80,'Inventario General'!$A$5:$A$304,0))&amp;"","No está en el inventario"))</f>
        <v/>
      </c>
      <c r="C80" s="25" t="str">
        <f>IF($A80="","",IFERROR(INDEX('Inventario General'!$D$5:$D$304,MATCH($A80,'Inventario General'!$A$5:$A$304,0))&amp;"","No está en el inventario"))</f>
        <v/>
      </c>
      <c r="D80" s="25" t="str">
        <f>IF($A80="","",IFERROR(INDEX('Inventario General'!$I$5:$I$304,MATCH($A80,'Inventario General'!$A$5:$A$304,0))&amp;"","No está en el inventario"))</f>
        <v/>
      </c>
      <c r="E80" s="26"/>
      <c r="F80" s="26"/>
      <c r="G80" s="26"/>
      <c r="H80" s="29"/>
      <c r="I80" s="29"/>
      <c r="J80" s="26"/>
      <c r="K80" s="26"/>
      <c r="L80" s="44"/>
      <c r="M80" s="26"/>
      <c r="N80" s="45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 x14ac:dyDescent="0.25">
      <c r="A81" s="26"/>
      <c r="B81" s="25" t="str">
        <f>IF($A81="","",IFERROR(INDEX('Inventario General'!$C$5:$C$304,MATCH($A81,'Inventario General'!$A$5:$A$304,0))&amp;"","No está en el inventario"))</f>
        <v/>
      </c>
      <c r="C81" s="25" t="str">
        <f>IF($A81="","",IFERROR(INDEX('Inventario General'!$D$5:$D$304,MATCH($A81,'Inventario General'!$A$5:$A$304,0))&amp;"","No está en el inventario"))</f>
        <v/>
      </c>
      <c r="D81" s="25" t="str">
        <f>IF($A81="","",IFERROR(INDEX('Inventario General'!$I$5:$I$304,MATCH($A81,'Inventario General'!$A$5:$A$304,0))&amp;"","No está en el inventario"))</f>
        <v/>
      </c>
      <c r="E81" s="26"/>
      <c r="F81" s="26"/>
      <c r="G81" s="26"/>
      <c r="H81" s="29"/>
      <c r="I81" s="29"/>
      <c r="J81" s="26"/>
      <c r="K81" s="26"/>
      <c r="L81" s="44"/>
      <c r="M81" s="26"/>
      <c r="N81" s="45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 x14ac:dyDescent="0.25">
      <c r="A82" s="26"/>
      <c r="B82" s="25" t="str">
        <f>IF($A82="","",IFERROR(INDEX('Inventario General'!$C$5:$C$304,MATCH($A82,'Inventario General'!$A$5:$A$304,0))&amp;"","No está en el inventario"))</f>
        <v/>
      </c>
      <c r="C82" s="25" t="str">
        <f>IF($A82="","",IFERROR(INDEX('Inventario General'!$D$5:$D$304,MATCH($A82,'Inventario General'!$A$5:$A$304,0))&amp;"","No está en el inventario"))</f>
        <v/>
      </c>
      <c r="D82" s="25" t="str">
        <f>IF($A82="","",IFERROR(INDEX('Inventario General'!$I$5:$I$304,MATCH($A82,'Inventario General'!$A$5:$A$304,0))&amp;"","No está en el inventario"))</f>
        <v/>
      </c>
      <c r="E82" s="26"/>
      <c r="F82" s="26"/>
      <c r="G82" s="26"/>
      <c r="H82" s="29"/>
      <c r="I82" s="29"/>
      <c r="J82" s="26"/>
      <c r="K82" s="26"/>
      <c r="L82" s="44"/>
      <c r="M82" s="26"/>
      <c r="N82" s="45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 x14ac:dyDescent="0.25">
      <c r="A83" s="26"/>
      <c r="B83" s="25" t="str">
        <f>IF($A83="","",IFERROR(INDEX('Inventario General'!$C$5:$C$304,MATCH($A83,'Inventario General'!$A$5:$A$304,0))&amp;"","No está en el inventario"))</f>
        <v/>
      </c>
      <c r="C83" s="25" t="str">
        <f>IF($A83="","",IFERROR(INDEX('Inventario General'!$D$5:$D$304,MATCH($A83,'Inventario General'!$A$5:$A$304,0))&amp;"","No está en el inventario"))</f>
        <v/>
      </c>
      <c r="D83" s="25" t="str">
        <f>IF($A83="","",IFERROR(INDEX('Inventario General'!$I$5:$I$304,MATCH($A83,'Inventario General'!$A$5:$A$304,0))&amp;"","No está en el inventario"))</f>
        <v/>
      </c>
      <c r="E83" s="26"/>
      <c r="F83" s="26"/>
      <c r="G83" s="26"/>
      <c r="H83" s="29"/>
      <c r="I83" s="29"/>
      <c r="J83" s="26"/>
      <c r="K83" s="26"/>
      <c r="L83" s="44"/>
      <c r="M83" s="26"/>
      <c r="N83" s="45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 x14ac:dyDescent="0.25">
      <c r="A84" s="26"/>
      <c r="B84" s="25" t="str">
        <f>IF($A84="","",IFERROR(INDEX('Inventario General'!$C$5:$C$304,MATCH($A84,'Inventario General'!$A$5:$A$304,0))&amp;"","No está en el inventario"))</f>
        <v/>
      </c>
      <c r="C84" s="25" t="str">
        <f>IF($A84="","",IFERROR(INDEX('Inventario General'!$D$5:$D$304,MATCH($A84,'Inventario General'!$A$5:$A$304,0))&amp;"","No está en el inventario"))</f>
        <v/>
      </c>
      <c r="D84" s="25" t="str">
        <f>IF($A84="","",IFERROR(INDEX('Inventario General'!$I$5:$I$304,MATCH($A84,'Inventario General'!$A$5:$A$304,0))&amp;"","No está en el inventario"))</f>
        <v/>
      </c>
      <c r="E84" s="26"/>
      <c r="F84" s="26"/>
      <c r="G84" s="26"/>
      <c r="H84" s="29"/>
      <c r="I84" s="29"/>
      <c r="J84" s="26"/>
      <c r="K84" s="26"/>
      <c r="L84" s="44"/>
      <c r="M84" s="26"/>
      <c r="N84" s="45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x14ac:dyDescent="0.25">
      <c r="A85" s="26"/>
      <c r="B85" s="25" t="str">
        <f>IF($A85="","",IFERROR(INDEX('Inventario General'!$C$5:$C$304,MATCH($A85,'Inventario General'!$A$5:$A$304,0))&amp;"","No está en el inventario"))</f>
        <v/>
      </c>
      <c r="C85" s="25" t="str">
        <f>IF($A85="","",IFERROR(INDEX('Inventario General'!$D$5:$D$304,MATCH($A85,'Inventario General'!$A$5:$A$304,0))&amp;"","No está en el inventario"))</f>
        <v/>
      </c>
      <c r="D85" s="25" t="str">
        <f>IF($A85="","",IFERROR(INDEX('Inventario General'!$I$5:$I$304,MATCH($A85,'Inventario General'!$A$5:$A$304,0))&amp;"","No está en el inventario"))</f>
        <v/>
      </c>
      <c r="E85" s="26"/>
      <c r="F85" s="26"/>
      <c r="G85" s="26"/>
      <c r="H85" s="29"/>
      <c r="I85" s="29"/>
      <c r="J85" s="26"/>
      <c r="K85" s="26"/>
      <c r="L85" s="44"/>
      <c r="M85" s="26"/>
      <c r="N85" s="45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 x14ac:dyDescent="0.25">
      <c r="A86" s="26"/>
      <c r="B86" s="25" t="str">
        <f>IF($A86="","",IFERROR(INDEX('Inventario General'!$C$5:$C$304,MATCH($A86,'Inventario General'!$A$5:$A$304,0))&amp;"","No está en el inventario"))</f>
        <v/>
      </c>
      <c r="C86" s="25" t="str">
        <f>IF($A86="","",IFERROR(INDEX('Inventario General'!$D$5:$D$304,MATCH($A86,'Inventario General'!$A$5:$A$304,0))&amp;"","No está en el inventario"))</f>
        <v/>
      </c>
      <c r="D86" s="25" t="str">
        <f>IF($A86="","",IFERROR(INDEX('Inventario General'!$I$5:$I$304,MATCH($A86,'Inventario General'!$A$5:$A$304,0))&amp;"","No está en el inventario"))</f>
        <v/>
      </c>
      <c r="E86" s="26"/>
      <c r="F86" s="26"/>
      <c r="G86" s="26"/>
      <c r="H86" s="29"/>
      <c r="I86" s="29"/>
      <c r="J86" s="26"/>
      <c r="K86" s="26"/>
      <c r="L86" s="44"/>
      <c r="M86" s="26"/>
      <c r="N86" s="45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 x14ac:dyDescent="0.25">
      <c r="A87" s="26"/>
      <c r="B87" s="25" t="str">
        <f>IF($A87="","",IFERROR(INDEX('Inventario General'!$C$5:$C$304,MATCH($A87,'Inventario General'!$A$5:$A$304,0))&amp;"","No está en el inventario"))</f>
        <v/>
      </c>
      <c r="C87" s="25" t="str">
        <f>IF($A87="","",IFERROR(INDEX('Inventario General'!$D$5:$D$304,MATCH($A87,'Inventario General'!$A$5:$A$304,0))&amp;"","No está en el inventario"))</f>
        <v/>
      </c>
      <c r="D87" s="25" t="str">
        <f>IF($A87="","",IFERROR(INDEX('Inventario General'!$I$5:$I$304,MATCH($A87,'Inventario General'!$A$5:$A$304,0))&amp;"","No está en el inventario"))</f>
        <v/>
      </c>
      <c r="E87" s="26"/>
      <c r="F87" s="26"/>
      <c r="G87" s="26"/>
      <c r="H87" s="29"/>
      <c r="I87" s="29"/>
      <c r="J87" s="26"/>
      <c r="K87" s="26"/>
      <c r="L87" s="44"/>
      <c r="M87" s="26"/>
      <c r="N87" s="45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 x14ac:dyDescent="0.25">
      <c r="A88" s="26"/>
      <c r="B88" s="25" t="str">
        <f>IF($A88="","",IFERROR(INDEX('Inventario General'!$C$5:$C$304,MATCH($A88,'Inventario General'!$A$5:$A$304,0))&amp;"","No está en el inventario"))</f>
        <v/>
      </c>
      <c r="C88" s="25" t="str">
        <f>IF($A88="","",IFERROR(INDEX('Inventario General'!$D$5:$D$304,MATCH($A88,'Inventario General'!$A$5:$A$304,0))&amp;"","No está en el inventario"))</f>
        <v/>
      </c>
      <c r="D88" s="25" t="str">
        <f>IF($A88="","",IFERROR(INDEX('Inventario General'!$I$5:$I$304,MATCH($A88,'Inventario General'!$A$5:$A$304,0))&amp;"","No está en el inventario"))</f>
        <v/>
      </c>
      <c r="E88" s="26"/>
      <c r="F88" s="26"/>
      <c r="G88" s="26"/>
      <c r="H88" s="29"/>
      <c r="I88" s="29"/>
      <c r="J88" s="26"/>
      <c r="K88" s="26"/>
      <c r="L88" s="44"/>
      <c r="M88" s="26"/>
      <c r="N88" s="45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x14ac:dyDescent="0.25">
      <c r="A89" s="26"/>
      <c r="B89" s="25" t="str">
        <f>IF($A89="","",IFERROR(INDEX('Inventario General'!$C$5:$C$304,MATCH($A89,'Inventario General'!$A$5:$A$304,0))&amp;"","No está en el inventario"))</f>
        <v/>
      </c>
      <c r="C89" s="25" t="str">
        <f>IF($A89="","",IFERROR(INDEX('Inventario General'!$D$5:$D$304,MATCH($A89,'Inventario General'!$A$5:$A$304,0))&amp;"","No está en el inventario"))</f>
        <v/>
      </c>
      <c r="D89" s="25" t="str">
        <f>IF($A89="","",IFERROR(INDEX('Inventario General'!$I$5:$I$304,MATCH($A89,'Inventario General'!$A$5:$A$304,0))&amp;"","No está en el inventario"))</f>
        <v/>
      </c>
      <c r="E89" s="26"/>
      <c r="F89" s="26"/>
      <c r="G89" s="26"/>
      <c r="H89" s="29"/>
      <c r="I89" s="29"/>
      <c r="J89" s="26"/>
      <c r="K89" s="26"/>
      <c r="L89" s="44"/>
      <c r="M89" s="26"/>
      <c r="N89" s="45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 x14ac:dyDescent="0.25">
      <c r="A90" s="26"/>
      <c r="B90" s="25" t="str">
        <f>IF($A90="","",IFERROR(INDEX('Inventario General'!$C$5:$C$304,MATCH($A90,'Inventario General'!$A$5:$A$304,0))&amp;"","No está en el inventario"))</f>
        <v/>
      </c>
      <c r="C90" s="25" t="str">
        <f>IF($A90="","",IFERROR(INDEX('Inventario General'!$D$5:$D$304,MATCH($A90,'Inventario General'!$A$5:$A$304,0))&amp;"","No está en el inventario"))</f>
        <v/>
      </c>
      <c r="D90" s="25" t="str">
        <f>IF($A90="","",IFERROR(INDEX('Inventario General'!$I$5:$I$304,MATCH($A90,'Inventario General'!$A$5:$A$304,0))&amp;"","No está en el inventario"))</f>
        <v/>
      </c>
      <c r="E90" s="26"/>
      <c r="F90" s="26"/>
      <c r="G90" s="26"/>
      <c r="H90" s="29"/>
      <c r="I90" s="29"/>
      <c r="J90" s="26"/>
      <c r="K90" s="26"/>
      <c r="L90" s="44"/>
      <c r="M90" s="26"/>
      <c r="N90" s="45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 x14ac:dyDescent="0.25">
      <c r="A91" s="26"/>
      <c r="B91" s="25" t="str">
        <f>IF($A91="","",IFERROR(INDEX('Inventario General'!$C$5:$C$304,MATCH($A91,'Inventario General'!$A$5:$A$304,0))&amp;"","No está en el inventario"))</f>
        <v/>
      </c>
      <c r="C91" s="25" t="str">
        <f>IF($A91="","",IFERROR(INDEX('Inventario General'!$D$5:$D$304,MATCH($A91,'Inventario General'!$A$5:$A$304,0))&amp;"","No está en el inventario"))</f>
        <v/>
      </c>
      <c r="D91" s="25" t="str">
        <f>IF($A91="","",IFERROR(INDEX('Inventario General'!$I$5:$I$304,MATCH($A91,'Inventario General'!$A$5:$A$304,0))&amp;"","No está en el inventario"))</f>
        <v/>
      </c>
      <c r="E91" s="26"/>
      <c r="F91" s="26"/>
      <c r="G91" s="26"/>
      <c r="H91" s="29"/>
      <c r="I91" s="29"/>
      <c r="J91" s="26"/>
      <c r="K91" s="26"/>
      <c r="L91" s="44"/>
      <c r="M91" s="26"/>
      <c r="N91" s="45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 x14ac:dyDescent="0.25">
      <c r="A92" s="26"/>
      <c r="B92" s="25" t="str">
        <f>IF($A92="","",IFERROR(INDEX('Inventario General'!$C$5:$C$304,MATCH($A92,'Inventario General'!$A$5:$A$304,0))&amp;"","No está en el inventario"))</f>
        <v/>
      </c>
      <c r="C92" s="25" t="str">
        <f>IF($A92="","",IFERROR(INDEX('Inventario General'!$D$5:$D$304,MATCH($A92,'Inventario General'!$A$5:$A$304,0))&amp;"","No está en el inventario"))</f>
        <v/>
      </c>
      <c r="D92" s="25" t="str">
        <f>IF($A92="","",IFERROR(INDEX('Inventario General'!$I$5:$I$304,MATCH($A92,'Inventario General'!$A$5:$A$304,0))&amp;"","No está en el inventario"))</f>
        <v/>
      </c>
      <c r="E92" s="26"/>
      <c r="F92" s="26"/>
      <c r="G92" s="26"/>
      <c r="H92" s="29"/>
      <c r="I92" s="29"/>
      <c r="J92" s="26"/>
      <c r="K92" s="26"/>
      <c r="L92" s="44"/>
      <c r="M92" s="26"/>
      <c r="N92" s="45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x14ac:dyDescent="0.25">
      <c r="A93" s="26"/>
      <c r="B93" s="25" t="str">
        <f>IF($A93="","",IFERROR(INDEX('Inventario General'!$C$5:$C$304,MATCH($A93,'Inventario General'!$A$5:$A$304,0))&amp;"","No está en el inventario"))</f>
        <v/>
      </c>
      <c r="C93" s="25" t="str">
        <f>IF($A93="","",IFERROR(INDEX('Inventario General'!$D$5:$D$304,MATCH($A93,'Inventario General'!$A$5:$A$304,0))&amp;"","No está en el inventario"))</f>
        <v/>
      </c>
      <c r="D93" s="25" t="str">
        <f>IF($A93="","",IFERROR(INDEX('Inventario General'!$I$5:$I$304,MATCH($A93,'Inventario General'!$A$5:$A$304,0))&amp;"","No está en el inventario"))</f>
        <v/>
      </c>
      <c r="E93" s="26"/>
      <c r="F93" s="26"/>
      <c r="G93" s="26"/>
      <c r="H93" s="29"/>
      <c r="I93" s="29"/>
      <c r="J93" s="26"/>
      <c r="K93" s="26"/>
      <c r="L93" s="44"/>
      <c r="M93" s="26"/>
      <c r="N93" s="45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x14ac:dyDescent="0.25">
      <c r="A94" s="26"/>
      <c r="B94" s="25" t="str">
        <f>IF($A94="","",IFERROR(INDEX('Inventario General'!$C$5:$C$304,MATCH($A94,'Inventario General'!$A$5:$A$304,0))&amp;"","No está en el inventario"))</f>
        <v/>
      </c>
      <c r="C94" s="25" t="str">
        <f>IF($A94="","",IFERROR(INDEX('Inventario General'!$D$5:$D$304,MATCH($A94,'Inventario General'!$A$5:$A$304,0))&amp;"","No está en el inventario"))</f>
        <v/>
      </c>
      <c r="D94" s="25" t="str">
        <f>IF($A94="","",IFERROR(INDEX('Inventario General'!$I$5:$I$304,MATCH($A94,'Inventario General'!$A$5:$A$304,0))&amp;"","No está en el inventario"))</f>
        <v/>
      </c>
      <c r="E94" s="26"/>
      <c r="F94" s="26"/>
      <c r="G94" s="26"/>
      <c r="H94" s="29"/>
      <c r="I94" s="29"/>
      <c r="J94" s="26"/>
      <c r="K94" s="26"/>
      <c r="L94" s="44"/>
      <c r="M94" s="26"/>
      <c r="N94" s="45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 x14ac:dyDescent="0.25">
      <c r="A95" s="26"/>
      <c r="B95" s="25" t="str">
        <f>IF($A95="","",IFERROR(INDEX('Inventario General'!$C$5:$C$304,MATCH($A95,'Inventario General'!$A$5:$A$304,0))&amp;"","No está en el inventario"))</f>
        <v/>
      </c>
      <c r="C95" s="25" t="str">
        <f>IF($A95="","",IFERROR(INDEX('Inventario General'!$D$5:$D$304,MATCH($A95,'Inventario General'!$A$5:$A$304,0))&amp;"","No está en el inventario"))</f>
        <v/>
      </c>
      <c r="D95" s="25" t="str">
        <f>IF($A95="","",IFERROR(INDEX('Inventario General'!$I$5:$I$304,MATCH($A95,'Inventario General'!$A$5:$A$304,0))&amp;"","No está en el inventario"))</f>
        <v/>
      </c>
      <c r="E95" s="26"/>
      <c r="F95" s="26"/>
      <c r="G95" s="26"/>
      <c r="H95" s="29"/>
      <c r="I95" s="29"/>
      <c r="J95" s="26"/>
      <c r="K95" s="26"/>
      <c r="L95" s="44"/>
      <c r="M95" s="26"/>
      <c r="N95" s="45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x14ac:dyDescent="0.25">
      <c r="A96" s="26"/>
      <c r="B96" s="25" t="str">
        <f>IF($A96="","",IFERROR(INDEX('Inventario General'!$C$5:$C$304,MATCH($A96,'Inventario General'!$A$5:$A$304,0))&amp;"","No está en el inventario"))</f>
        <v/>
      </c>
      <c r="C96" s="25" t="str">
        <f>IF($A96="","",IFERROR(INDEX('Inventario General'!$D$5:$D$304,MATCH($A96,'Inventario General'!$A$5:$A$304,0))&amp;"","No está en el inventario"))</f>
        <v/>
      </c>
      <c r="D96" s="25" t="str">
        <f>IF($A96="","",IFERROR(INDEX('Inventario General'!$I$5:$I$304,MATCH($A96,'Inventario General'!$A$5:$A$304,0))&amp;"","No está en el inventario"))</f>
        <v/>
      </c>
      <c r="E96" s="26"/>
      <c r="F96" s="26"/>
      <c r="G96" s="26"/>
      <c r="H96" s="29"/>
      <c r="I96" s="29"/>
      <c r="J96" s="26"/>
      <c r="K96" s="26"/>
      <c r="L96" s="44"/>
      <c r="M96" s="26"/>
      <c r="N96" s="45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x14ac:dyDescent="0.25">
      <c r="A97" s="26"/>
      <c r="B97" s="25" t="str">
        <f>IF($A97="","",IFERROR(INDEX('Inventario General'!$C$5:$C$304,MATCH($A97,'Inventario General'!$A$5:$A$304,0))&amp;"","No está en el inventario"))</f>
        <v/>
      </c>
      <c r="C97" s="25" t="str">
        <f>IF($A97="","",IFERROR(INDEX('Inventario General'!$D$5:$D$304,MATCH($A97,'Inventario General'!$A$5:$A$304,0))&amp;"","No está en el inventario"))</f>
        <v/>
      </c>
      <c r="D97" s="25" t="str">
        <f>IF($A97="","",IFERROR(INDEX('Inventario General'!$I$5:$I$304,MATCH($A97,'Inventario General'!$A$5:$A$304,0))&amp;"","No está en el inventario"))</f>
        <v/>
      </c>
      <c r="E97" s="26"/>
      <c r="F97" s="26"/>
      <c r="G97" s="26"/>
      <c r="H97" s="29"/>
      <c r="I97" s="29"/>
      <c r="J97" s="26"/>
      <c r="K97" s="26"/>
      <c r="L97" s="44"/>
      <c r="M97" s="26"/>
      <c r="N97" s="45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x14ac:dyDescent="0.25">
      <c r="A98" s="26"/>
      <c r="B98" s="25" t="str">
        <f>IF($A98="","",IFERROR(INDEX('Inventario General'!$C$5:$C$304,MATCH($A98,'Inventario General'!$A$5:$A$304,0))&amp;"","No está en el inventario"))</f>
        <v/>
      </c>
      <c r="C98" s="25" t="str">
        <f>IF($A98="","",IFERROR(INDEX('Inventario General'!$D$5:$D$304,MATCH($A98,'Inventario General'!$A$5:$A$304,0))&amp;"","No está en el inventario"))</f>
        <v/>
      </c>
      <c r="D98" s="25" t="str">
        <f>IF($A98="","",IFERROR(INDEX('Inventario General'!$I$5:$I$304,MATCH($A98,'Inventario General'!$A$5:$A$304,0))&amp;"","No está en el inventario"))</f>
        <v/>
      </c>
      <c r="E98" s="26"/>
      <c r="F98" s="26"/>
      <c r="G98" s="26"/>
      <c r="H98" s="29"/>
      <c r="I98" s="29"/>
      <c r="J98" s="26"/>
      <c r="K98" s="26"/>
      <c r="L98" s="44"/>
      <c r="M98" s="26"/>
      <c r="N98" s="45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x14ac:dyDescent="0.25">
      <c r="A99" s="26"/>
      <c r="B99" s="25" t="str">
        <f>IF($A99="","",IFERROR(INDEX('Inventario General'!$C$5:$C$304,MATCH($A99,'Inventario General'!$A$5:$A$304,0))&amp;"","No está en el inventario"))</f>
        <v/>
      </c>
      <c r="C99" s="25" t="str">
        <f>IF($A99="","",IFERROR(INDEX('Inventario General'!$D$5:$D$304,MATCH($A99,'Inventario General'!$A$5:$A$304,0))&amp;"","No está en el inventario"))</f>
        <v/>
      </c>
      <c r="D99" s="25" t="str">
        <f>IF($A99="","",IFERROR(INDEX('Inventario General'!$I$5:$I$304,MATCH($A99,'Inventario General'!$A$5:$A$304,0))&amp;"","No está en el inventario"))</f>
        <v/>
      </c>
      <c r="E99" s="26"/>
      <c r="F99" s="26"/>
      <c r="G99" s="26"/>
      <c r="H99" s="29"/>
      <c r="I99" s="29"/>
      <c r="J99" s="26"/>
      <c r="K99" s="26"/>
      <c r="L99" s="44"/>
      <c r="M99" s="26"/>
      <c r="N99" s="45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x14ac:dyDescent="0.25">
      <c r="A100" s="26"/>
      <c r="B100" s="25" t="str">
        <f>IF($A100="","",IFERROR(INDEX('Inventario General'!$C$5:$C$304,MATCH($A100,'Inventario General'!$A$5:$A$304,0))&amp;"","No está en el inventario"))</f>
        <v/>
      </c>
      <c r="C100" s="25" t="str">
        <f>IF($A100="","",IFERROR(INDEX('Inventario General'!$D$5:$D$304,MATCH($A100,'Inventario General'!$A$5:$A$304,0))&amp;"","No está en el inventario"))</f>
        <v/>
      </c>
      <c r="D100" s="25" t="str">
        <f>IF($A100="","",IFERROR(INDEX('Inventario General'!$I$5:$I$304,MATCH($A100,'Inventario General'!$A$5:$A$304,0))&amp;"","No está en el inventario"))</f>
        <v/>
      </c>
      <c r="E100" s="26"/>
      <c r="F100" s="26"/>
      <c r="G100" s="26"/>
      <c r="H100" s="29"/>
      <c r="I100" s="29"/>
      <c r="J100" s="26"/>
      <c r="K100" s="26"/>
      <c r="L100" s="44"/>
      <c r="M100" s="26"/>
      <c r="N100" s="45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 x14ac:dyDescent="0.25">
      <c r="A101" s="26"/>
      <c r="B101" s="25" t="str">
        <f>IF($A101="","",IFERROR(INDEX('Inventario General'!$C$5:$C$304,MATCH($A101,'Inventario General'!$A$5:$A$304,0))&amp;"","No está en el inventario"))</f>
        <v/>
      </c>
      <c r="C101" s="25" t="str">
        <f>IF($A101="","",IFERROR(INDEX('Inventario General'!$D$5:$D$304,MATCH($A101,'Inventario General'!$A$5:$A$304,0))&amp;"","No está en el inventario"))</f>
        <v/>
      </c>
      <c r="D101" s="25" t="str">
        <f>IF($A101="","",IFERROR(INDEX('Inventario General'!$I$5:$I$304,MATCH($A101,'Inventario General'!$A$5:$A$304,0))&amp;"","No está en el inventario"))</f>
        <v/>
      </c>
      <c r="E101" s="26"/>
      <c r="F101" s="26"/>
      <c r="G101" s="26"/>
      <c r="H101" s="29"/>
      <c r="I101" s="29"/>
      <c r="J101" s="26"/>
      <c r="K101" s="26"/>
      <c r="L101" s="44"/>
      <c r="M101" s="26"/>
      <c r="N101" s="45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x14ac:dyDescent="0.25">
      <c r="A102" s="26"/>
      <c r="B102" s="25" t="str">
        <f>IF($A102="","",IFERROR(INDEX('Inventario General'!$C$5:$C$304,MATCH($A102,'Inventario General'!$A$5:$A$304,0))&amp;"","No está en el inventario"))</f>
        <v/>
      </c>
      <c r="C102" s="25" t="str">
        <f>IF($A102="","",IFERROR(INDEX('Inventario General'!$D$5:$D$304,MATCH($A102,'Inventario General'!$A$5:$A$304,0))&amp;"","No está en el inventario"))</f>
        <v/>
      </c>
      <c r="D102" s="25" t="str">
        <f>IF($A102="","",IFERROR(INDEX('Inventario General'!$I$5:$I$304,MATCH($A102,'Inventario General'!$A$5:$A$304,0))&amp;"","No está en el inventario"))</f>
        <v/>
      </c>
      <c r="E102" s="26"/>
      <c r="F102" s="26"/>
      <c r="G102" s="26"/>
      <c r="H102" s="29"/>
      <c r="I102" s="29"/>
      <c r="J102" s="26"/>
      <c r="K102" s="26"/>
      <c r="L102" s="44"/>
      <c r="M102" s="26"/>
      <c r="N102" s="45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x14ac:dyDescent="0.25">
      <c r="A103" s="26"/>
      <c r="B103" s="25" t="str">
        <f>IF($A103="","",IFERROR(INDEX('Inventario General'!$C$5:$C$304,MATCH($A103,'Inventario General'!$A$5:$A$304,0))&amp;"","No está en el inventario"))</f>
        <v/>
      </c>
      <c r="C103" s="25" t="str">
        <f>IF($A103="","",IFERROR(INDEX('Inventario General'!$D$5:$D$304,MATCH($A103,'Inventario General'!$A$5:$A$304,0))&amp;"","No está en el inventario"))</f>
        <v/>
      </c>
      <c r="D103" s="25" t="str">
        <f>IF($A103="","",IFERROR(INDEX('Inventario General'!$I$5:$I$304,MATCH($A103,'Inventario General'!$A$5:$A$304,0))&amp;"","No está en el inventario"))</f>
        <v/>
      </c>
      <c r="E103" s="26"/>
      <c r="F103" s="26"/>
      <c r="G103" s="26"/>
      <c r="H103" s="29"/>
      <c r="I103" s="29"/>
      <c r="J103" s="26"/>
      <c r="K103" s="26"/>
      <c r="L103" s="44"/>
      <c r="M103" s="26"/>
      <c r="N103" s="45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x14ac:dyDescent="0.25">
      <c r="A104" s="26"/>
      <c r="B104" s="25" t="str">
        <f>IF($A104="","",IFERROR(INDEX('Inventario General'!$C$5:$C$304,MATCH($A104,'Inventario General'!$A$5:$A$304,0))&amp;"","No está en el inventario"))</f>
        <v/>
      </c>
      <c r="C104" s="25" t="str">
        <f>IF($A104="","",IFERROR(INDEX('Inventario General'!$D$5:$D$304,MATCH($A104,'Inventario General'!$A$5:$A$304,0))&amp;"","No está en el inventario"))</f>
        <v/>
      </c>
      <c r="D104" s="25" t="str">
        <f>IF($A104="","",IFERROR(INDEX('Inventario General'!$I$5:$I$304,MATCH($A104,'Inventario General'!$A$5:$A$304,0))&amp;"","No está en el inventario"))</f>
        <v/>
      </c>
      <c r="E104" s="26"/>
      <c r="F104" s="26"/>
      <c r="G104" s="26"/>
      <c r="H104" s="29"/>
      <c r="I104" s="29"/>
      <c r="J104" s="26"/>
      <c r="K104" s="26"/>
      <c r="L104" s="44"/>
      <c r="M104" s="26"/>
      <c r="N104" s="45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 x14ac:dyDescent="0.25">
      <c r="A105" s="26"/>
      <c r="B105" s="25" t="str">
        <f>IF($A105="","",IFERROR(INDEX('Inventario General'!$C$5:$C$304,MATCH($A105,'Inventario General'!$A$5:$A$304,0))&amp;"","No está en el inventario"))</f>
        <v/>
      </c>
      <c r="C105" s="25" t="str">
        <f>IF($A105="","",IFERROR(INDEX('Inventario General'!$D$5:$D$304,MATCH($A105,'Inventario General'!$A$5:$A$304,0))&amp;"","No está en el inventario"))</f>
        <v/>
      </c>
      <c r="D105" s="25" t="str">
        <f>IF($A105="","",IFERROR(INDEX('Inventario General'!$I$5:$I$304,MATCH($A105,'Inventario General'!$A$5:$A$304,0))&amp;"","No está en el inventario"))</f>
        <v/>
      </c>
      <c r="E105" s="26"/>
      <c r="F105" s="26"/>
      <c r="G105" s="26"/>
      <c r="H105" s="29"/>
      <c r="I105" s="29"/>
      <c r="J105" s="26"/>
      <c r="K105" s="26"/>
      <c r="L105" s="44"/>
      <c r="M105" s="26"/>
      <c r="N105" s="45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x14ac:dyDescent="0.25">
      <c r="A106" s="26"/>
      <c r="B106" s="25" t="str">
        <f>IF($A106="","",IFERROR(INDEX('Inventario General'!$C$5:$C$304,MATCH($A106,'Inventario General'!$A$5:$A$304,0))&amp;"","No está en el inventario"))</f>
        <v/>
      </c>
      <c r="C106" s="25" t="str">
        <f>IF($A106="","",IFERROR(INDEX('Inventario General'!$D$5:$D$304,MATCH($A106,'Inventario General'!$A$5:$A$304,0))&amp;"","No está en el inventario"))</f>
        <v/>
      </c>
      <c r="D106" s="25" t="str">
        <f>IF($A106="","",IFERROR(INDEX('Inventario General'!$I$5:$I$304,MATCH($A106,'Inventario General'!$A$5:$A$304,0))&amp;"","No está en el inventario"))</f>
        <v/>
      </c>
      <c r="E106" s="26"/>
      <c r="F106" s="26"/>
      <c r="G106" s="26"/>
      <c r="H106" s="29"/>
      <c r="I106" s="29"/>
      <c r="J106" s="26"/>
      <c r="K106" s="26"/>
      <c r="L106" s="44"/>
      <c r="M106" s="26"/>
      <c r="N106" s="45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x14ac:dyDescent="0.25">
      <c r="A107" s="26"/>
      <c r="B107" s="25" t="str">
        <f>IF($A107="","",IFERROR(INDEX('Inventario General'!$C$5:$C$304,MATCH($A107,'Inventario General'!$A$5:$A$304,0))&amp;"","No está en el inventario"))</f>
        <v/>
      </c>
      <c r="C107" s="25" t="str">
        <f>IF($A107="","",IFERROR(INDEX('Inventario General'!$D$5:$D$304,MATCH($A107,'Inventario General'!$A$5:$A$304,0))&amp;"","No está en el inventario"))</f>
        <v/>
      </c>
      <c r="D107" s="25" t="str">
        <f>IF($A107="","",IFERROR(INDEX('Inventario General'!$I$5:$I$304,MATCH($A107,'Inventario General'!$A$5:$A$304,0))&amp;"","No está en el inventario"))</f>
        <v/>
      </c>
      <c r="E107" s="26"/>
      <c r="F107" s="26"/>
      <c r="G107" s="26"/>
      <c r="H107" s="29"/>
      <c r="I107" s="29"/>
      <c r="J107" s="26"/>
      <c r="K107" s="26"/>
      <c r="L107" s="44"/>
      <c r="M107" s="26"/>
      <c r="N107" s="45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 x14ac:dyDescent="0.25">
      <c r="A108" s="26"/>
      <c r="B108" s="25" t="str">
        <f>IF($A108="","",IFERROR(INDEX('Inventario General'!$C$5:$C$304,MATCH($A108,'Inventario General'!$A$5:$A$304,0))&amp;"","No está en el inventario"))</f>
        <v/>
      </c>
      <c r="C108" s="25" t="str">
        <f>IF($A108="","",IFERROR(INDEX('Inventario General'!$D$5:$D$304,MATCH($A108,'Inventario General'!$A$5:$A$304,0))&amp;"","No está en el inventario"))</f>
        <v/>
      </c>
      <c r="D108" s="25" t="str">
        <f>IF($A108="","",IFERROR(INDEX('Inventario General'!$I$5:$I$304,MATCH($A108,'Inventario General'!$A$5:$A$304,0))&amp;"","No está en el inventario"))</f>
        <v/>
      </c>
      <c r="E108" s="26"/>
      <c r="F108" s="26"/>
      <c r="G108" s="26"/>
      <c r="H108" s="29"/>
      <c r="I108" s="29"/>
      <c r="J108" s="26"/>
      <c r="K108" s="26"/>
      <c r="L108" s="44"/>
      <c r="M108" s="26"/>
      <c r="N108" s="45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x14ac:dyDescent="0.25">
      <c r="A109" s="26"/>
      <c r="B109" s="25" t="str">
        <f>IF($A109="","",IFERROR(INDEX('Inventario General'!$C$5:$C$304,MATCH($A109,'Inventario General'!$A$5:$A$304,0))&amp;"","No está en el inventario"))</f>
        <v/>
      </c>
      <c r="C109" s="25" t="str">
        <f>IF($A109="","",IFERROR(INDEX('Inventario General'!$D$5:$D$304,MATCH($A109,'Inventario General'!$A$5:$A$304,0))&amp;"","No está en el inventario"))</f>
        <v/>
      </c>
      <c r="D109" s="25" t="str">
        <f>IF($A109="","",IFERROR(INDEX('Inventario General'!$I$5:$I$304,MATCH($A109,'Inventario General'!$A$5:$A$304,0))&amp;"","No está en el inventario"))</f>
        <v/>
      </c>
      <c r="E109" s="26"/>
      <c r="F109" s="26"/>
      <c r="G109" s="26"/>
      <c r="H109" s="29"/>
      <c r="I109" s="29"/>
      <c r="J109" s="26"/>
      <c r="K109" s="26"/>
      <c r="L109" s="44"/>
      <c r="M109" s="26"/>
      <c r="N109" s="45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 x14ac:dyDescent="0.25">
      <c r="A110" s="26"/>
      <c r="B110" s="25" t="str">
        <f>IF($A110="","",IFERROR(INDEX('Inventario General'!$C$5:$C$304,MATCH($A110,'Inventario General'!$A$5:$A$304,0))&amp;"","No está en el inventario"))</f>
        <v/>
      </c>
      <c r="C110" s="25" t="str">
        <f>IF($A110="","",IFERROR(INDEX('Inventario General'!$D$5:$D$304,MATCH($A110,'Inventario General'!$A$5:$A$304,0))&amp;"","No está en el inventario"))</f>
        <v/>
      </c>
      <c r="D110" s="25" t="str">
        <f>IF($A110="","",IFERROR(INDEX('Inventario General'!$I$5:$I$304,MATCH($A110,'Inventario General'!$A$5:$A$304,0))&amp;"","No está en el inventario"))</f>
        <v/>
      </c>
      <c r="E110" s="26"/>
      <c r="F110" s="26"/>
      <c r="G110" s="26"/>
      <c r="H110" s="29"/>
      <c r="I110" s="29"/>
      <c r="J110" s="26"/>
      <c r="K110" s="26"/>
      <c r="L110" s="44"/>
      <c r="M110" s="26"/>
      <c r="N110" s="45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 x14ac:dyDescent="0.25">
      <c r="A111" s="26"/>
      <c r="B111" s="25" t="str">
        <f>IF($A111="","",IFERROR(INDEX('Inventario General'!$C$5:$C$304,MATCH($A111,'Inventario General'!$A$5:$A$304,0))&amp;"","No está en el inventario"))</f>
        <v/>
      </c>
      <c r="C111" s="25" t="str">
        <f>IF($A111="","",IFERROR(INDEX('Inventario General'!$D$5:$D$304,MATCH($A111,'Inventario General'!$A$5:$A$304,0))&amp;"","No está en el inventario"))</f>
        <v/>
      </c>
      <c r="D111" s="25" t="str">
        <f>IF($A111="","",IFERROR(INDEX('Inventario General'!$I$5:$I$304,MATCH($A111,'Inventario General'!$A$5:$A$304,0))&amp;"","No está en el inventario"))</f>
        <v/>
      </c>
      <c r="E111" s="26"/>
      <c r="F111" s="26"/>
      <c r="G111" s="26"/>
      <c r="H111" s="29"/>
      <c r="I111" s="29"/>
      <c r="J111" s="26"/>
      <c r="K111" s="26"/>
      <c r="L111" s="44"/>
      <c r="M111" s="26"/>
      <c r="N111" s="45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x14ac:dyDescent="0.25">
      <c r="A112" s="26"/>
      <c r="B112" s="25" t="str">
        <f>IF($A112="","",IFERROR(INDEX('Inventario General'!$C$5:$C$304,MATCH($A112,'Inventario General'!$A$5:$A$304,0))&amp;"","No está en el inventario"))</f>
        <v/>
      </c>
      <c r="C112" s="25" t="str">
        <f>IF($A112="","",IFERROR(INDEX('Inventario General'!$D$5:$D$304,MATCH($A112,'Inventario General'!$A$5:$A$304,0))&amp;"","No está en el inventario"))</f>
        <v/>
      </c>
      <c r="D112" s="25" t="str">
        <f>IF($A112="","",IFERROR(INDEX('Inventario General'!$I$5:$I$304,MATCH($A112,'Inventario General'!$A$5:$A$304,0))&amp;"","No está en el inventario"))</f>
        <v/>
      </c>
      <c r="E112" s="26"/>
      <c r="F112" s="26"/>
      <c r="G112" s="26"/>
      <c r="H112" s="29"/>
      <c r="I112" s="29"/>
      <c r="J112" s="26"/>
      <c r="K112" s="26"/>
      <c r="L112" s="44"/>
      <c r="M112" s="26"/>
      <c r="N112" s="45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x14ac:dyDescent="0.25">
      <c r="A113" s="26"/>
      <c r="B113" s="25" t="str">
        <f>IF($A113="","",IFERROR(INDEX('Inventario General'!$C$5:$C$304,MATCH($A113,'Inventario General'!$A$5:$A$304,0))&amp;"","No está en el inventario"))</f>
        <v/>
      </c>
      <c r="C113" s="25" t="str">
        <f>IF($A113="","",IFERROR(INDEX('Inventario General'!$D$5:$D$304,MATCH($A113,'Inventario General'!$A$5:$A$304,0))&amp;"","No está en el inventario"))</f>
        <v/>
      </c>
      <c r="D113" s="25" t="str">
        <f>IF($A113="","",IFERROR(INDEX('Inventario General'!$I$5:$I$304,MATCH($A113,'Inventario General'!$A$5:$A$304,0))&amp;"","No está en el inventario"))</f>
        <v/>
      </c>
      <c r="E113" s="26"/>
      <c r="F113" s="26"/>
      <c r="G113" s="26"/>
      <c r="H113" s="29"/>
      <c r="I113" s="29"/>
      <c r="J113" s="26"/>
      <c r="K113" s="26"/>
      <c r="L113" s="44"/>
      <c r="M113" s="26"/>
      <c r="N113" s="45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x14ac:dyDescent="0.25">
      <c r="A114" s="26"/>
      <c r="B114" s="25" t="str">
        <f>IF($A114="","",IFERROR(INDEX('Inventario General'!$C$5:$C$304,MATCH($A114,'Inventario General'!$A$5:$A$304,0))&amp;"","No está en el inventario"))</f>
        <v/>
      </c>
      <c r="C114" s="25" t="str">
        <f>IF($A114="","",IFERROR(INDEX('Inventario General'!$D$5:$D$304,MATCH($A114,'Inventario General'!$A$5:$A$304,0))&amp;"","No está en el inventario"))</f>
        <v/>
      </c>
      <c r="D114" s="25" t="str">
        <f>IF($A114="","",IFERROR(INDEX('Inventario General'!$I$5:$I$304,MATCH($A114,'Inventario General'!$A$5:$A$304,0))&amp;"","No está en el inventario"))</f>
        <v/>
      </c>
      <c r="E114" s="26"/>
      <c r="F114" s="26"/>
      <c r="G114" s="26"/>
      <c r="H114" s="29"/>
      <c r="I114" s="29"/>
      <c r="J114" s="26"/>
      <c r="K114" s="26"/>
      <c r="L114" s="44"/>
      <c r="M114" s="26"/>
      <c r="N114" s="45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 x14ac:dyDescent="0.25">
      <c r="A115" s="26"/>
      <c r="B115" s="25" t="str">
        <f>IF($A115="","",IFERROR(INDEX('Inventario General'!$C$5:$C$304,MATCH($A115,'Inventario General'!$A$5:$A$304,0))&amp;"","No está en el inventario"))</f>
        <v/>
      </c>
      <c r="C115" s="25" t="str">
        <f>IF($A115="","",IFERROR(INDEX('Inventario General'!$D$5:$D$304,MATCH($A115,'Inventario General'!$A$5:$A$304,0))&amp;"","No está en el inventario"))</f>
        <v/>
      </c>
      <c r="D115" s="25" t="str">
        <f>IF($A115="","",IFERROR(INDEX('Inventario General'!$I$5:$I$304,MATCH($A115,'Inventario General'!$A$5:$A$304,0))&amp;"","No está en el inventario"))</f>
        <v/>
      </c>
      <c r="E115" s="26"/>
      <c r="F115" s="26"/>
      <c r="G115" s="26"/>
      <c r="H115" s="29"/>
      <c r="I115" s="29"/>
      <c r="J115" s="26"/>
      <c r="K115" s="26"/>
      <c r="L115" s="44"/>
      <c r="M115" s="26"/>
      <c r="N115" s="45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x14ac:dyDescent="0.25">
      <c r="A116" s="26"/>
      <c r="B116" s="25" t="str">
        <f>IF($A116="","",IFERROR(INDEX('Inventario General'!$C$5:$C$304,MATCH($A116,'Inventario General'!$A$5:$A$304,0))&amp;"","No está en el inventario"))</f>
        <v/>
      </c>
      <c r="C116" s="25" t="str">
        <f>IF($A116="","",IFERROR(INDEX('Inventario General'!$D$5:$D$304,MATCH($A116,'Inventario General'!$A$5:$A$304,0))&amp;"","No está en el inventario"))</f>
        <v/>
      </c>
      <c r="D116" s="25" t="str">
        <f>IF($A116="","",IFERROR(INDEX('Inventario General'!$I$5:$I$304,MATCH($A116,'Inventario General'!$A$5:$A$304,0))&amp;"","No está en el inventario"))</f>
        <v/>
      </c>
      <c r="E116" s="26"/>
      <c r="F116" s="26"/>
      <c r="G116" s="26"/>
      <c r="H116" s="29"/>
      <c r="I116" s="29"/>
      <c r="J116" s="26"/>
      <c r="K116" s="26"/>
      <c r="L116" s="44"/>
      <c r="M116" s="26"/>
      <c r="N116" s="45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 x14ac:dyDescent="0.25">
      <c r="A117" s="26"/>
      <c r="B117" s="25" t="str">
        <f>IF($A117="","",IFERROR(INDEX('Inventario General'!$C$5:$C$304,MATCH($A117,'Inventario General'!$A$5:$A$304,0))&amp;"","No está en el inventario"))</f>
        <v/>
      </c>
      <c r="C117" s="25" t="str">
        <f>IF($A117="","",IFERROR(INDEX('Inventario General'!$D$5:$D$304,MATCH($A117,'Inventario General'!$A$5:$A$304,0))&amp;"","No está en el inventario"))</f>
        <v/>
      </c>
      <c r="D117" s="25" t="str">
        <f>IF($A117="","",IFERROR(INDEX('Inventario General'!$I$5:$I$304,MATCH($A117,'Inventario General'!$A$5:$A$304,0))&amp;"","No está en el inventario"))</f>
        <v/>
      </c>
      <c r="E117" s="26"/>
      <c r="F117" s="26"/>
      <c r="G117" s="26"/>
      <c r="H117" s="29"/>
      <c r="I117" s="29"/>
      <c r="J117" s="26"/>
      <c r="K117" s="26"/>
      <c r="L117" s="44"/>
      <c r="M117" s="26"/>
      <c r="N117" s="45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x14ac:dyDescent="0.25">
      <c r="A118" s="26"/>
      <c r="B118" s="25" t="str">
        <f>IF($A118="","",IFERROR(INDEX('Inventario General'!$C$5:$C$304,MATCH($A118,'Inventario General'!$A$5:$A$304,0))&amp;"","No está en el inventario"))</f>
        <v/>
      </c>
      <c r="C118" s="25" t="str">
        <f>IF($A118="","",IFERROR(INDEX('Inventario General'!$D$5:$D$304,MATCH($A118,'Inventario General'!$A$5:$A$304,0))&amp;"","No está en el inventario"))</f>
        <v/>
      </c>
      <c r="D118" s="25" t="str">
        <f>IF($A118="","",IFERROR(INDEX('Inventario General'!$I$5:$I$304,MATCH($A118,'Inventario General'!$A$5:$A$304,0))&amp;"","No está en el inventario"))</f>
        <v/>
      </c>
      <c r="E118" s="26"/>
      <c r="F118" s="26"/>
      <c r="G118" s="26"/>
      <c r="H118" s="29"/>
      <c r="I118" s="29"/>
      <c r="J118" s="26"/>
      <c r="K118" s="26"/>
      <c r="L118" s="44"/>
      <c r="M118" s="26"/>
      <c r="N118" s="45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 x14ac:dyDescent="0.25">
      <c r="A119" s="26"/>
      <c r="B119" s="25" t="str">
        <f>IF($A119="","",IFERROR(INDEX('Inventario General'!$C$5:$C$304,MATCH($A119,'Inventario General'!$A$5:$A$304,0))&amp;"","No está en el inventario"))</f>
        <v/>
      </c>
      <c r="C119" s="25" t="str">
        <f>IF($A119="","",IFERROR(INDEX('Inventario General'!$D$5:$D$304,MATCH($A119,'Inventario General'!$A$5:$A$304,0))&amp;"","No está en el inventario"))</f>
        <v/>
      </c>
      <c r="D119" s="25" t="str">
        <f>IF($A119="","",IFERROR(INDEX('Inventario General'!$I$5:$I$304,MATCH($A119,'Inventario General'!$A$5:$A$304,0))&amp;"","No está en el inventario"))</f>
        <v/>
      </c>
      <c r="E119" s="26"/>
      <c r="F119" s="26"/>
      <c r="G119" s="26"/>
      <c r="H119" s="29"/>
      <c r="I119" s="29"/>
      <c r="J119" s="26"/>
      <c r="K119" s="26"/>
      <c r="L119" s="44"/>
      <c r="M119" s="26"/>
      <c r="N119" s="45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x14ac:dyDescent="0.25">
      <c r="A120" s="26"/>
      <c r="B120" s="25" t="str">
        <f>IF($A120="","",IFERROR(INDEX('Inventario General'!$C$5:$C$304,MATCH($A120,'Inventario General'!$A$5:$A$304,0))&amp;"","No está en el inventario"))</f>
        <v/>
      </c>
      <c r="C120" s="25" t="str">
        <f>IF($A120="","",IFERROR(INDEX('Inventario General'!$D$5:$D$304,MATCH($A120,'Inventario General'!$A$5:$A$304,0))&amp;"","No está en el inventario"))</f>
        <v/>
      </c>
      <c r="D120" s="25" t="str">
        <f>IF($A120="","",IFERROR(INDEX('Inventario General'!$I$5:$I$304,MATCH($A120,'Inventario General'!$A$5:$A$304,0))&amp;"","No está en el inventario"))</f>
        <v/>
      </c>
      <c r="E120" s="26"/>
      <c r="F120" s="26"/>
      <c r="G120" s="26"/>
      <c r="H120" s="29"/>
      <c r="I120" s="29"/>
      <c r="J120" s="26"/>
      <c r="K120" s="26"/>
      <c r="L120" s="44"/>
      <c r="M120" s="26"/>
      <c r="N120" s="45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 x14ac:dyDescent="0.25">
      <c r="A121" s="26"/>
      <c r="B121" s="25" t="str">
        <f>IF($A121="","",IFERROR(INDEX('Inventario General'!$C$5:$C$304,MATCH($A121,'Inventario General'!$A$5:$A$304,0))&amp;"","No está en el inventario"))</f>
        <v/>
      </c>
      <c r="C121" s="25" t="str">
        <f>IF($A121="","",IFERROR(INDEX('Inventario General'!$D$5:$D$304,MATCH($A121,'Inventario General'!$A$5:$A$304,0))&amp;"","No está en el inventario"))</f>
        <v/>
      </c>
      <c r="D121" s="25" t="str">
        <f>IF($A121="","",IFERROR(INDEX('Inventario General'!$I$5:$I$304,MATCH($A121,'Inventario General'!$A$5:$A$304,0))&amp;"","No está en el inventario"))</f>
        <v/>
      </c>
      <c r="E121" s="26"/>
      <c r="F121" s="26"/>
      <c r="G121" s="26"/>
      <c r="H121" s="29"/>
      <c r="I121" s="29"/>
      <c r="J121" s="26"/>
      <c r="K121" s="26"/>
      <c r="L121" s="44"/>
      <c r="M121" s="26"/>
      <c r="N121" s="45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 x14ac:dyDescent="0.25">
      <c r="A122" s="26"/>
      <c r="B122" s="25" t="str">
        <f>IF($A122="","",IFERROR(INDEX('Inventario General'!$C$5:$C$304,MATCH($A122,'Inventario General'!$A$5:$A$304,0))&amp;"","No está en el inventario"))</f>
        <v/>
      </c>
      <c r="C122" s="25" t="str">
        <f>IF($A122="","",IFERROR(INDEX('Inventario General'!$D$5:$D$304,MATCH($A122,'Inventario General'!$A$5:$A$304,0))&amp;"","No está en el inventario"))</f>
        <v/>
      </c>
      <c r="D122" s="25" t="str">
        <f>IF($A122="","",IFERROR(INDEX('Inventario General'!$I$5:$I$304,MATCH($A122,'Inventario General'!$A$5:$A$304,0))&amp;"","No está en el inventario"))</f>
        <v/>
      </c>
      <c r="E122" s="26"/>
      <c r="F122" s="26"/>
      <c r="G122" s="26"/>
      <c r="H122" s="29"/>
      <c r="I122" s="29"/>
      <c r="J122" s="26"/>
      <c r="K122" s="26"/>
      <c r="L122" s="44"/>
      <c r="M122" s="26"/>
      <c r="N122" s="45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 x14ac:dyDescent="0.25">
      <c r="A123" s="26"/>
      <c r="B123" s="25" t="str">
        <f>IF($A123="","",IFERROR(INDEX('Inventario General'!$C$5:$C$304,MATCH($A123,'Inventario General'!$A$5:$A$304,0))&amp;"","No está en el inventario"))</f>
        <v/>
      </c>
      <c r="C123" s="25" t="str">
        <f>IF($A123="","",IFERROR(INDEX('Inventario General'!$D$5:$D$304,MATCH($A123,'Inventario General'!$A$5:$A$304,0))&amp;"","No está en el inventario"))</f>
        <v/>
      </c>
      <c r="D123" s="25" t="str">
        <f>IF($A123="","",IFERROR(INDEX('Inventario General'!$I$5:$I$304,MATCH($A123,'Inventario General'!$A$5:$A$304,0))&amp;"","No está en el inventario"))</f>
        <v/>
      </c>
      <c r="E123" s="26"/>
      <c r="F123" s="26"/>
      <c r="G123" s="26"/>
      <c r="H123" s="29"/>
      <c r="I123" s="29"/>
      <c r="J123" s="26"/>
      <c r="K123" s="26"/>
      <c r="L123" s="44"/>
      <c r="M123" s="26"/>
      <c r="N123" s="45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 x14ac:dyDescent="0.25">
      <c r="A124" s="26"/>
      <c r="B124" s="25" t="str">
        <f>IF($A124="","",IFERROR(INDEX('Inventario General'!$C$5:$C$304,MATCH($A124,'Inventario General'!$A$5:$A$304,0))&amp;"","No está en el inventario"))</f>
        <v/>
      </c>
      <c r="C124" s="25" t="str">
        <f>IF($A124="","",IFERROR(INDEX('Inventario General'!$D$5:$D$304,MATCH($A124,'Inventario General'!$A$5:$A$304,0))&amp;"","No está en el inventario"))</f>
        <v/>
      </c>
      <c r="D124" s="25" t="str">
        <f>IF($A124="","",IFERROR(INDEX('Inventario General'!$I$5:$I$304,MATCH($A124,'Inventario General'!$A$5:$A$304,0))&amp;"","No está en el inventario"))</f>
        <v/>
      </c>
      <c r="E124" s="26"/>
      <c r="F124" s="26"/>
      <c r="G124" s="26"/>
      <c r="H124" s="29"/>
      <c r="I124" s="29"/>
      <c r="J124" s="26"/>
      <c r="K124" s="26"/>
      <c r="L124" s="44"/>
      <c r="M124" s="26"/>
      <c r="N124" s="45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 x14ac:dyDescent="0.25">
      <c r="A125" s="26"/>
      <c r="B125" s="25" t="str">
        <f>IF($A125="","",IFERROR(INDEX('Inventario General'!$C$5:$C$304,MATCH($A125,'Inventario General'!$A$5:$A$304,0))&amp;"","No está en el inventario"))</f>
        <v/>
      </c>
      <c r="C125" s="25" t="str">
        <f>IF($A125="","",IFERROR(INDEX('Inventario General'!$D$5:$D$304,MATCH($A125,'Inventario General'!$A$5:$A$304,0))&amp;"","No está en el inventario"))</f>
        <v/>
      </c>
      <c r="D125" s="25" t="str">
        <f>IF($A125="","",IFERROR(INDEX('Inventario General'!$I$5:$I$304,MATCH($A125,'Inventario General'!$A$5:$A$304,0))&amp;"","No está en el inventario"))</f>
        <v/>
      </c>
      <c r="E125" s="26"/>
      <c r="F125" s="26"/>
      <c r="G125" s="26"/>
      <c r="H125" s="29"/>
      <c r="I125" s="29"/>
      <c r="J125" s="26"/>
      <c r="K125" s="26"/>
      <c r="L125" s="44"/>
      <c r="M125" s="26"/>
      <c r="N125" s="45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 x14ac:dyDescent="0.25">
      <c r="A126" s="26"/>
      <c r="B126" s="25" t="str">
        <f>IF($A126="","",IFERROR(INDEX('Inventario General'!$C$5:$C$304,MATCH($A126,'Inventario General'!$A$5:$A$304,0))&amp;"","No está en el inventario"))</f>
        <v/>
      </c>
      <c r="C126" s="25" t="str">
        <f>IF($A126="","",IFERROR(INDEX('Inventario General'!$D$5:$D$304,MATCH($A126,'Inventario General'!$A$5:$A$304,0))&amp;"","No está en el inventario"))</f>
        <v/>
      </c>
      <c r="D126" s="25" t="str">
        <f>IF($A126="","",IFERROR(INDEX('Inventario General'!$I$5:$I$304,MATCH($A126,'Inventario General'!$A$5:$A$304,0))&amp;"","No está en el inventario"))</f>
        <v/>
      </c>
      <c r="E126" s="26"/>
      <c r="F126" s="26"/>
      <c r="G126" s="26"/>
      <c r="H126" s="29"/>
      <c r="I126" s="29"/>
      <c r="J126" s="26"/>
      <c r="K126" s="26"/>
      <c r="L126" s="44"/>
      <c r="M126" s="26"/>
      <c r="N126" s="45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 x14ac:dyDescent="0.25">
      <c r="A127" s="26"/>
      <c r="B127" s="25" t="str">
        <f>IF($A127="","",IFERROR(INDEX('Inventario General'!$C$5:$C$304,MATCH($A127,'Inventario General'!$A$5:$A$304,0))&amp;"","No está en el inventario"))</f>
        <v/>
      </c>
      <c r="C127" s="25" t="str">
        <f>IF($A127="","",IFERROR(INDEX('Inventario General'!$D$5:$D$304,MATCH($A127,'Inventario General'!$A$5:$A$304,0))&amp;"","No está en el inventario"))</f>
        <v/>
      </c>
      <c r="D127" s="25" t="str">
        <f>IF($A127="","",IFERROR(INDEX('Inventario General'!$I$5:$I$304,MATCH($A127,'Inventario General'!$A$5:$A$304,0))&amp;"","No está en el inventario"))</f>
        <v/>
      </c>
      <c r="E127" s="26"/>
      <c r="F127" s="26"/>
      <c r="G127" s="26"/>
      <c r="H127" s="29"/>
      <c r="I127" s="29"/>
      <c r="J127" s="26"/>
      <c r="K127" s="26"/>
      <c r="L127" s="44"/>
      <c r="M127" s="26"/>
      <c r="N127" s="45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 x14ac:dyDescent="0.25">
      <c r="A128" s="26"/>
      <c r="B128" s="25" t="str">
        <f>IF($A128="","",IFERROR(INDEX('Inventario General'!$C$5:$C$304,MATCH($A128,'Inventario General'!$A$5:$A$304,0))&amp;"","No está en el inventario"))</f>
        <v/>
      </c>
      <c r="C128" s="25" t="str">
        <f>IF($A128="","",IFERROR(INDEX('Inventario General'!$D$5:$D$304,MATCH($A128,'Inventario General'!$A$5:$A$304,0))&amp;"","No está en el inventario"))</f>
        <v/>
      </c>
      <c r="D128" s="25" t="str">
        <f>IF($A128="","",IFERROR(INDEX('Inventario General'!$I$5:$I$304,MATCH($A128,'Inventario General'!$A$5:$A$304,0))&amp;"","No está en el inventario"))</f>
        <v/>
      </c>
      <c r="E128" s="26"/>
      <c r="F128" s="26"/>
      <c r="G128" s="26"/>
      <c r="H128" s="29"/>
      <c r="I128" s="29"/>
      <c r="J128" s="26"/>
      <c r="K128" s="26"/>
      <c r="L128" s="44"/>
      <c r="M128" s="26"/>
      <c r="N128" s="45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 x14ac:dyDescent="0.25">
      <c r="A129" s="26"/>
      <c r="B129" s="25" t="str">
        <f>IF($A129="","",IFERROR(INDEX('Inventario General'!$C$5:$C$304,MATCH($A129,'Inventario General'!$A$5:$A$304,0))&amp;"","No está en el inventario"))</f>
        <v/>
      </c>
      <c r="C129" s="25" t="str">
        <f>IF($A129="","",IFERROR(INDEX('Inventario General'!$D$5:$D$304,MATCH($A129,'Inventario General'!$A$5:$A$304,0))&amp;"","No está en el inventario"))</f>
        <v/>
      </c>
      <c r="D129" s="25" t="str">
        <f>IF($A129="","",IFERROR(INDEX('Inventario General'!$I$5:$I$304,MATCH($A129,'Inventario General'!$A$5:$A$304,0))&amp;"","No está en el inventario"))</f>
        <v/>
      </c>
      <c r="E129" s="26"/>
      <c r="F129" s="26"/>
      <c r="G129" s="26"/>
      <c r="H129" s="29"/>
      <c r="I129" s="29"/>
      <c r="J129" s="26"/>
      <c r="K129" s="26"/>
      <c r="L129" s="44"/>
      <c r="M129" s="26"/>
      <c r="N129" s="45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 x14ac:dyDescent="0.25">
      <c r="A130" s="26"/>
      <c r="B130" s="25" t="str">
        <f>IF($A130="","",IFERROR(INDEX('Inventario General'!$C$5:$C$304,MATCH($A130,'Inventario General'!$A$5:$A$304,0))&amp;"","No está en el inventario"))</f>
        <v/>
      </c>
      <c r="C130" s="25" t="str">
        <f>IF($A130="","",IFERROR(INDEX('Inventario General'!$D$5:$D$304,MATCH($A130,'Inventario General'!$A$5:$A$304,0))&amp;"","No está en el inventario"))</f>
        <v/>
      </c>
      <c r="D130" s="25" t="str">
        <f>IF($A130="","",IFERROR(INDEX('Inventario General'!$I$5:$I$304,MATCH($A130,'Inventario General'!$A$5:$A$304,0))&amp;"","No está en el inventario"))</f>
        <v/>
      </c>
      <c r="E130" s="26"/>
      <c r="F130" s="26"/>
      <c r="G130" s="26"/>
      <c r="H130" s="29"/>
      <c r="I130" s="29"/>
      <c r="J130" s="26"/>
      <c r="K130" s="26"/>
      <c r="L130" s="44"/>
      <c r="M130" s="26"/>
      <c r="N130" s="45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 x14ac:dyDescent="0.25">
      <c r="A131" s="26"/>
      <c r="B131" s="25" t="str">
        <f>IF($A131="","",IFERROR(INDEX('Inventario General'!$C$5:$C$304,MATCH($A131,'Inventario General'!$A$5:$A$304,0))&amp;"","No está en el inventario"))</f>
        <v/>
      </c>
      <c r="C131" s="25" t="str">
        <f>IF($A131="","",IFERROR(INDEX('Inventario General'!$D$5:$D$304,MATCH($A131,'Inventario General'!$A$5:$A$304,0))&amp;"","No está en el inventario"))</f>
        <v/>
      </c>
      <c r="D131" s="25" t="str">
        <f>IF($A131="","",IFERROR(INDEX('Inventario General'!$I$5:$I$304,MATCH($A131,'Inventario General'!$A$5:$A$304,0))&amp;"","No está en el inventario"))</f>
        <v/>
      </c>
      <c r="E131" s="26"/>
      <c r="F131" s="26"/>
      <c r="G131" s="26"/>
      <c r="H131" s="29"/>
      <c r="I131" s="29"/>
      <c r="J131" s="26"/>
      <c r="K131" s="26"/>
      <c r="L131" s="44"/>
      <c r="M131" s="26"/>
      <c r="N131" s="45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 x14ac:dyDescent="0.25">
      <c r="A132" s="26"/>
      <c r="B132" s="25" t="str">
        <f>IF($A132="","",IFERROR(INDEX('Inventario General'!$C$5:$C$304,MATCH($A132,'Inventario General'!$A$5:$A$304,0))&amp;"","No está en el inventario"))</f>
        <v/>
      </c>
      <c r="C132" s="25" t="str">
        <f>IF($A132="","",IFERROR(INDEX('Inventario General'!$D$5:$D$304,MATCH($A132,'Inventario General'!$A$5:$A$304,0))&amp;"","No está en el inventario"))</f>
        <v/>
      </c>
      <c r="D132" s="25" t="str">
        <f>IF($A132="","",IFERROR(INDEX('Inventario General'!$I$5:$I$304,MATCH($A132,'Inventario General'!$A$5:$A$304,0))&amp;"","No está en el inventario"))</f>
        <v/>
      </c>
      <c r="E132" s="26"/>
      <c r="F132" s="26"/>
      <c r="G132" s="26"/>
      <c r="H132" s="29"/>
      <c r="I132" s="29"/>
      <c r="J132" s="26"/>
      <c r="K132" s="26"/>
      <c r="L132" s="44"/>
      <c r="M132" s="26"/>
      <c r="N132" s="45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 x14ac:dyDescent="0.25">
      <c r="A133" s="26"/>
      <c r="B133" s="25" t="str">
        <f>IF($A133="","",IFERROR(INDEX('Inventario General'!$C$5:$C$304,MATCH($A133,'Inventario General'!$A$5:$A$304,0))&amp;"","No está en el inventario"))</f>
        <v/>
      </c>
      <c r="C133" s="25" t="str">
        <f>IF($A133="","",IFERROR(INDEX('Inventario General'!$D$5:$D$304,MATCH($A133,'Inventario General'!$A$5:$A$304,0))&amp;"","No está en el inventario"))</f>
        <v/>
      </c>
      <c r="D133" s="25" t="str">
        <f>IF($A133="","",IFERROR(INDEX('Inventario General'!$I$5:$I$304,MATCH($A133,'Inventario General'!$A$5:$A$304,0))&amp;"","No está en el inventario"))</f>
        <v/>
      </c>
      <c r="E133" s="26"/>
      <c r="F133" s="26"/>
      <c r="G133" s="26"/>
      <c r="H133" s="29"/>
      <c r="I133" s="29"/>
      <c r="J133" s="26"/>
      <c r="K133" s="26"/>
      <c r="L133" s="44"/>
      <c r="M133" s="26"/>
      <c r="N133" s="45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 x14ac:dyDescent="0.25">
      <c r="A134" s="26"/>
      <c r="B134" s="25" t="str">
        <f>IF($A134="","",IFERROR(INDEX('Inventario General'!$C$5:$C$304,MATCH($A134,'Inventario General'!$A$5:$A$304,0))&amp;"","No está en el inventario"))</f>
        <v/>
      </c>
      <c r="C134" s="25" t="str">
        <f>IF($A134="","",IFERROR(INDEX('Inventario General'!$D$5:$D$304,MATCH($A134,'Inventario General'!$A$5:$A$304,0))&amp;"","No está en el inventario"))</f>
        <v/>
      </c>
      <c r="D134" s="25" t="str">
        <f>IF($A134="","",IFERROR(INDEX('Inventario General'!$I$5:$I$304,MATCH($A134,'Inventario General'!$A$5:$A$304,0))&amp;"","No está en el inventario"))</f>
        <v/>
      </c>
      <c r="E134" s="26"/>
      <c r="F134" s="26"/>
      <c r="G134" s="26"/>
      <c r="H134" s="29"/>
      <c r="I134" s="29"/>
      <c r="J134" s="26"/>
      <c r="K134" s="26"/>
      <c r="L134" s="44"/>
      <c r="M134" s="26"/>
      <c r="N134" s="45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 x14ac:dyDescent="0.25">
      <c r="A135" s="26"/>
      <c r="B135" s="25" t="str">
        <f>IF($A135="","",IFERROR(INDEX('Inventario General'!$C$5:$C$304,MATCH($A135,'Inventario General'!$A$5:$A$304,0))&amp;"","No está en el inventario"))</f>
        <v/>
      </c>
      <c r="C135" s="25" t="str">
        <f>IF($A135="","",IFERROR(INDEX('Inventario General'!$D$5:$D$304,MATCH($A135,'Inventario General'!$A$5:$A$304,0))&amp;"","No está en el inventario"))</f>
        <v/>
      </c>
      <c r="D135" s="25" t="str">
        <f>IF($A135="","",IFERROR(INDEX('Inventario General'!$I$5:$I$304,MATCH($A135,'Inventario General'!$A$5:$A$304,0))&amp;"","No está en el inventario"))</f>
        <v/>
      </c>
      <c r="E135" s="26"/>
      <c r="F135" s="26"/>
      <c r="G135" s="26"/>
      <c r="H135" s="29"/>
      <c r="I135" s="29"/>
      <c r="J135" s="26"/>
      <c r="K135" s="26"/>
      <c r="L135" s="44"/>
      <c r="M135" s="26"/>
      <c r="N135" s="45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x14ac:dyDescent="0.25">
      <c r="A136" s="26"/>
      <c r="B136" s="25" t="str">
        <f>IF($A136="","",IFERROR(INDEX('Inventario General'!$C$5:$C$304,MATCH($A136,'Inventario General'!$A$5:$A$304,0))&amp;"","No está en el inventario"))</f>
        <v/>
      </c>
      <c r="C136" s="25" t="str">
        <f>IF($A136="","",IFERROR(INDEX('Inventario General'!$D$5:$D$304,MATCH($A136,'Inventario General'!$A$5:$A$304,0))&amp;"","No está en el inventario"))</f>
        <v/>
      </c>
      <c r="D136" s="25" t="str">
        <f>IF($A136="","",IFERROR(INDEX('Inventario General'!$I$5:$I$304,MATCH($A136,'Inventario General'!$A$5:$A$304,0))&amp;"","No está en el inventario"))</f>
        <v/>
      </c>
      <c r="E136" s="26"/>
      <c r="F136" s="26"/>
      <c r="G136" s="26"/>
      <c r="H136" s="29"/>
      <c r="I136" s="29"/>
      <c r="J136" s="26"/>
      <c r="K136" s="26"/>
      <c r="L136" s="44"/>
      <c r="M136" s="26"/>
      <c r="N136" s="45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 x14ac:dyDescent="0.25">
      <c r="A137" s="26"/>
      <c r="B137" s="25" t="str">
        <f>IF($A137="","",IFERROR(INDEX('Inventario General'!$C$5:$C$304,MATCH($A137,'Inventario General'!$A$5:$A$304,0))&amp;"","No está en el inventario"))</f>
        <v/>
      </c>
      <c r="C137" s="25" t="str">
        <f>IF($A137="","",IFERROR(INDEX('Inventario General'!$D$5:$D$304,MATCH($A137,'Inventario General'!$A$5:$A$304,0))&amp;"","No está en el inventario"))</f>
        <v/>
      </c>
      <c r="D137" s="25" t="str">
        <f>IF($A137="","",IFERROR(INDEX('Inventario General'!$I$5:$I$304,MATCH($A137,'Inventario General'!$A$5:$A$304,0))&amp;"","No está en el inventario"))</f>
        <v/>
      </c>
      <c r="E137" s="26"/>
      <c r="F137" s="26"/>
      <c r="G137" s="26"/>
      <c r="H137" s="29"/>
      <c r="I137" s="29"/>
      <c r="J137" s="26"/>
      <c r="K137" s="26"/>
      <c r="L137" s="44"/>
      <c r="M137" s="26"/>
      <c r="N137" s="45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 x14ac:dyDescent="0.25">
      <c r="A138" s="26"/>
      <c r="B138" s="25" t="str">
        <f>IF($A138="","",IFERROR(INDEX('Inventario General'!$C$5:$C$304,MATCH($A138,'Inventario General'!$A$5:$A$304,0))&amp;"","No está en el inventario"))</f>
        <v/>
      </c>
      <c r="C138" s="25" t="str">
        <f>IF($A138="","",IFERROR(INDEX('Inventario General'!$D$5:$D$304,MATCH($A138,'Inventario General'!$A$5:$A$304,0))&amp;"","No está en el inventario"))</f>
        <v/>
      </c>
      <c r="D138" s="25" t="str">
        <f>IF($A138="","",IFERROR(INDEX('Inventario General'!$I$5:$I$304,MATCH($A138,'Inventario General'!$A$5:$A$304,0))&amp;"","No está en el inventario"))</f>
        <v/>
      </c>
      <c r="E138" s="26"/>
      <c r="F138" s="26"/>
      <c r="G138" s="26"/>
      <c r="H138" s="29"/>
      <c r="I138" s="29"/>
      <c r="J138" s="26"/>
      <c r="K138" s="26"/>
      <c r="L138" s="44"/>
      <c r="M138" s="26"/>
      <c r="N138" s="45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 x14ac:dyDescent="0.25">
      <c r="A139" s="26"/>
      <c r="B139" s="25" t="str">
        <f>IF($A139="","",IFERROR(INDEX('Inventario General'!$C$5:$C$304,MATCH($A139,'Inventario General'!$A$5:$A$304,0))&amp;"","No está en el inventario"))</f>
        <v/>
      </c>
      <c r="C139" s="25" t="str">
        <f>IF($A139="","",IFERROR(INDEX('Inventario General'!$D$5:$D$304,MATCH($A139,'Inventario General'!$A$5:$A$304,0))&amp;"","No está en el inventario"))</f>
        <v/>
      </c>
      <c r="D139" s="25" t="str">
        <f>IF($A139="","",IFERROR(INDEX('Inventario General'!$I$5:$I$304,MATCH($A139,'Inventario General'!$A$5:$A$304,0))&amp;"","No está en el inventario"))</f>
        <v/>
      </c>
      <c r="E139" s="26"/>
      <c r="F139" s="26"/>
      <c r="G139" s="26"/>
      <c r="H139" s="29"/>
      <c r="I139" s="29"/>
      <c r="J139" s="26"/>
      <c r="K139" s="26"/>
      <c r="L139" s="44"/>
      <c r="M139" s="26"/>
      <c r="N139" s="45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 x14ac:dyDescent="0.25">
      <c r="A140" s="26"/>
      <c r="B140" s="25" t="str">
        <f>IF($A140="","",IFERROR(INDEX('Inventario General'!$C$5:$C$304,MATCH($A140,'Inventario General'!$A$5:$A$304,0))&amp;"","No está en el inventario"))</f>
        <v/>
      </c>
      <c r="C140" s="25" t="str">
        <f>IF($A140="","",IFERROR(INDEX('Inventario General'!$D$5:$D$304,MATCH($A140,'Inventario General'!$A$5:$A$304,0))&amp;"","No está en el inventario"))</f>
        <v/>
      </c>
      <c r="D140" s="25" t="str">
        <f>IF($A140="","",IFERROR(INDEX('Inventario General'!$I$5:$I$304,MATCH($A140,'Inventario General'!$A$5:$A$304,0))&amp;"","No está en el inventario"))</f>
        <v/>
      </c>
      <c r="E140" s="26"/>
      <c r="F140" s="26"/>
      <c r="G140" s="26"/>
      <c r="H140" s="29"/>
      <c r="I140" s="29"/>
      <c r="J140" s="26"/>
      <c r="K140" s="26"/>
      <c r="L140" s="44"/>
      <c r="M140" s="26"/>
      <c r="N140" s="45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 x14ac:dyDescent="0.25">
      <c r="A141" s="26"/>
      <c r="B141" s="25" t="str">
        <f>IF($A141="","",IFERROR(INDEX('Inventario General'!$C$5:$C$304,MATCH($A141,'Inventario General'!$A$5:$A$304,0))&amp;"","No está en el inventario"))</f>
        <v/>
      </c>
      <c r="C141" s="25" t="str">
        <f>IF($A141="","",IFERROR(INDEX('Inventario General'!$D$5:$D$304,MATCH($A141,'Inventario General'!$A$5:$A$304,0))&amp;"","No está en el inventario"))</f>
        <v/>
      </c>
      <c r="D141" s="25" t="str">
        <f>IF($A141="","",IFERROR(INDEX('Inventario General'!$I$5:$I$304,MATCH($A141,'Inventario General'!$A$5:$A$304,0))&amp;"","No está en el inventario"))</f>
        <v/>
      </c>
      <c r="E141" s="26"/>
      <c r="F141" s="26"/>
      <c r="G141" s="26"/>
      <c r="H141" s="29"/>
      <c r="I141" s="29"/>
      <c r="J141" s="26"/>
      <c r="K141" s="26"/>
      <c r="L141" s="44"/>
      <c r="M141" s="26"/>
      <c r="N141" s="45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 x14ac:dyDescent="0.25">
      <c r="A142" s="26"/>
      <c r="B142" s="25" t="str">
        <f>IF($A142="","",IFERROR(INDEX('Inventario General'!$C$5:$C$304,MATCH($A142,'Inventario General'!$A$5:$A$304,0))&amp;"","No está en el inventario"))</f>
        <v/>
      </c>
      <c r="C142" s="25" t="str">
        <f>IF($A142="","",IFERROR(INDEX('Inventario General'!$D$5:$D$304,MATCH($A142,'Inventario General'!$A$5:$A$304,0))&amp;"","No está en el inventario"))</f>
        <v/>
      </c>
      <c r="D142" s="25" t="str">
        <f>IF($A142="","",IFERROR(INDEX('Inventario General'!$I$5:$I$304,MATCH($A142,'Inventario General'!$A$5:$A$304,0))&amp;"","No está en el inventario"))</f>
        <v/>
      </c>
      <c r="E142" s="26"/>
      <c r="F142" s="26"/>
      <c r="G142" s="26"/>
      <c r="H142" s="29"/>
      <c r="I142" s="29"/>
      <c r="J142" s="26"/>
      <c r="K142" s="26"/>
      <c r="L142" s="44"/>
      <c r="M142" s="26"/>
      <c r="N142" s="45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 x14ac:dyDescent="0.25">
      <c r="A143" s="26"/>
      <c r="B143" s="25" t="str">
        <f>IF($A143="","",IFERROR(INDEX('Inventario General'!$C$5:$C$304,MATCH($A143,'Inventario General'!$A$5:$A$304,0))&amp;"","No está en el inventario"))</f>
        <v/>
      </c>
      <c r="C143" s="25" t="str">
        <f>IF($A143="","",IFERROR(INDEX('Inventario General'!$D$5:$D$304,MATCH($A143,'Inventario General'!$A$5:$A$304,0))&amp;"","No está en el inventario"))</f>
        <v/>
      </c>
      <c r="D143" s="25" t="str">
        <f>IF($A143="","",IFERROR(INDEX('Inventario General'!$I$5:$I$304,MATCH($A143,'Inventario General'!$A$5:$A$304,0))&amp;"","No está en el inventario"))</f>
        <v/>
      </c>
      <c r="E143" s="26"/>
      <c r="F143" s="26"/>
      <c r="G143" s="26"/>
      <c r="H143" s="29"/>
      <c r="I143" s="29"/>
      <c r="J143" s="26"/>
      <c r="K143" s="26"/>
      <c r="L143" s="44"/>
      <c r="M143" s="26"/>
      <c r="N143" s="45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 x14ac:dyDescent="0.25">
      <c r="A144" s="26"/>
      <c r="B144" s="25" t="str">
        <f>IF($A144="","",IFERROR(INDEX('Inventario General'!$C$5:$C$304,MATCH($A144,'Inventario General'!$A$5:$A$304,0))&amp;"","No está en el inventario"))</f>
        <v/>
      </c>
      <c r="C144" s="25" t="str">
        <f>IF($A144="","",IFERROR(INDEX('Inventario General'!$D$5:$D$304,MATCH($A144,'Inventario General'!$A$5:$A$304,0))&amp;"","No está en el inventario"))</f>
        <v/>
      </c>
      <c r="D144" s="25" t="str">
        <f>IF($A144="","",IFERROR(INDEX('Inventario General'!$I$5:$I$304,MATCH($A144,'Inventario General'!$A$5:$A$304,0))&amp;"","No está en el inventario"))</f>
        <v/>
      </c>
      <c r="E144" s="26"/>
      <c r="F144" s="26"/>
      <c r="G144" s="26"/>
      <c r="H144" s="29"/>
      <c r="I144" s="29"/>
      <c r="J144" s="26"/>
      <c r="K144" s="26"/>
      <c r="L144" s="44"/>
      <c r="M144" s="26"/>
      <c r="N144" s="45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 x14ac:dyDescent="0.25">
      <c r="A145" s="26"/>
      <c r="B145" s="25" t="str">
        <f>IF($A145="","",IFERROR(INDEX('Inventario General'!$C$5:$C$304,MATCH($A145,'Inventario General'!$A$5:$A$304,0))&amp;"","No está en el inventario"))</f>
        <v/>
      </c>
      <c r="C145" s="25" t="str">
        <f>IF($A145="","",IFERROR(INDEX('Inventario General'!$D$5:$D$304,MATCH($A145,'Inventario General'!$A$5:$A$304,0))&amp;"","No está en el inventario"))</f>
        <v/>
      </c>
      <c r="D145" s="25" t="str">
        <f>IF($A145="","",IFERROR(INDEX('Inventario General'!$I$5:$I$304,MATCH($A145,'Inventario General'!$A$5:$A$304,0))&amp;"","No está en el inventario"))</f>
        <v/>
      </c>
      <c r="E145" s="26"/>
      <c r="F145" s="26"/>
      <c r="G145" s="26"/>
      <c r="H145" s="29"/>
      <c r="I145" s="29"/>
      <c r="J145" s="26"/>
      <c r="K145" s="26"/>
      <c r="L145" s="44"/>
      <c r="M145" s="26"/>
      <c r="N145" s="45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 x14ac:dyDescent="0.25">
      <c r="A146" s="26"/>
      <c r="B146" s="25" t="str">
        <f>IF($A146="","",IFERROR(INDEX('Inventario General'!$C$5:$C$304,MATCH($A146,'Inventario General'!$A$5:$A$304,0))&amp;"","No está en el inventario"))</f>
        <v/>
      </c>
      <c r="C146" s="25" t="str">
        <f>IF($A146="","",IFERROR(INDEX('Inventario General'!$D$5:$D$304,MATCH($A146,'Inventario General'!$A$5:$A$304,0))&amp;"","No está en el inventario"))</f>
        <v/>
      </c>
      <c r="D146" s="25" t="str">
        <f>IF($A146="","",IFERROR(INDEX('Inventario General'!$I$5:$I$304,MATCH($A146,'Inventario General'!$A$5:$A$304,0))&amp;"","No está en el inventario"))</f>
        <v/>
      </c>
      <c r="E146" s="26"/>
      <c r="F146" s="26"/>
      <c r="G146" s="26"/>
      <c r="H146" s="29"/>
      <c r="I146" s="29"/>
      <c r="J146" s="26"/>
      <c r="K146" s="26"/>
      <c r="L146" s="44"/>
      <c r="M146" s="26"/>
      <c r="N146" s="45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 x14ac:dyDescent="0.25">
      <c r="A147" s="26"/>
      <c r="B147" s="25" t="str">
        <f>IF($A147="","",IFERROR(INDEX('Inventario General'!$C$5:$C$304,MATCH($A147,'Inventario General'!$A$5:$A$304,0))&amp;"","No está en el inventario"))</f>
        <v/>
      </c>
      <c r="C147" s="25" t="str">
        <f>IF($A147="","",IFERROR(INDEX('Inventario General'!$D$5:$D$304,MATCH($A147,'Inventario General'!$A$5:$A$304,0))&amp;"","No está en el inventario"))</f>
        <v/>
      </c>
      <c r="D147" s="25" t="str">
        <f>IF($A147="","",IFERROR(INDEX('Inventario General'!$I$5:$I$304,MATCH($A147,'Inventario General'!$A$5:$A$304,0))&amp;"","No está en el inventario"))</f>
        <v/>
      </c>
      <c r="E147" s="26"/>
      <c r="F147" s="26"/>
      <c r="G147" s="26"/>
      <c r="H147" s="29"/>
      <c r="I147" s="29"/>
      <c r="J147" s="26"/>
      <c r="K147" s="26"/>
      <c r="L147" s="44"/>
      <c r="M147" s="26"/>
      <c r="N147" s="45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 x14ac:dyDescent="0.25">
      <c r="A148" s="26"/>
      <c r="B148" s="25" t="str">
        <f>IF($A148="","",IFERROR(INDEX('Inventario General'!$C$5:$C$304,MATCH($A148,'Inventario General'!$A$5:$A$304,0))&amp;"","No está en el inventario"))</f>
        <v/>
      </c>
      <c r="C148" s="25" t="str">
        <f>IF($A148="","",IFERROR(INDEX('Inventario General'!$D$5:$D$304,MATCH($A148,'Inventario General'!$A$5:$A$304,0))&amp;"","No está en el inventario"))</f>
        <v/>
      </c>
      <c r="D148" s="25" t="str">
        <f>IF($A148="","",IFERROR(INDEX('Inventario General'!$I$5:$I$304,MATCH($A148,'Inventario General'!$A$5:$A$304,0))&amp;"","No está en el inventario"))</f>
        <v/>
      </c>
      <c r="E148" s="26"/>
      <c r="F148" s="26"/>
      <c r="G148" s="26"/>
      <c r="H148" s="29"/>
      <c r="I148" s="29"/>
      <c r="J148" s="26"/>
      <c r="K148" s="26"/>
      <c r="L148" s="44"/>
      <c r="M148" s="26"/>
      <c r="N148" s="45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 x14ac:dyDescent="0.25">
      <c r="A149" s="26"/>
      <c r="B149" s="25" t="str">
        <f>IF($A149="","",IFERROR(INDEX('Inventario General'!$C$5:$C$304,MATCH($A149,'Inventario General'!$A$5:$A$304,0))&amp;"","No está en el inventario"))</f>
        <v/>
      </c>
      <c r="C149" s="25" t="str">
        <f>IF($A149="","",IFERROR(INDEX('Inventario General'!$D$5:$D$304,MATCH($A149,'Inventario General'!$A$5:$A$304,0))&amp;"","No está en el inventario"))</f>
        <v/>
      </c>
      <c r="D149" s="25" t="str">
        <f>IF($A149="","",IFERROR(INDEX('Inventario General'!$I$5:$I$304,MATCH($A149,'Inventario General'!$A$5:$A$304,0))&amp;"","No está en el inventario"))</f>
        <v/>
      </c>
      <c r="E149" s="26"/>
      <c r="F149" s="26"/>
      <c r="G149" s="26"/>
      <c r="H149" s="29"/>
      <c r="I149" s="29"/>
      <c r="J149" s="26"/>
      <c r="K149" s="26"/>
      <c r="L149" s="44"/>
      <c r="M149" s="26"/>
      <c r="N149" s="45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 x14ac:dyDescent="0.25">
      <c r="A150" s="26"/>
      <c r="B150" s="25" t="str">
        <f>IF($A150="","",IFERROR(INDEX('Inventario General'!$C$5:$C$304,MATCH($A150,'Inventario General'!$A$5:$A$304,0))&amp;"","No está en el inventario"))</f>
        <v/>
      </c>
      <c r="C150" s="25" t="str">
        <f>IF($A150="","",IFERROR(INDEX('Inventario General'!$D$5:$D$304,MATCH($A150,'Inventario General'!$A$5:$A$304,0))&amp;"","No está en el inventario"))</f>
        <v/>
      </c>
      <c r="D150" s="25" t="str">
        <f>IF($A150="","",IFERROR(INDEX('Inventario General'!$I$5:$I$304,MATCH($A150,'Inventario General'!$A$5:$A$304,0))&amp;"","No está en el inventario"))</f>
        <v/>
      </c>
      <c r="E150" s="26"/>
      <c r="F150" s="26"/>
      <c r="G150" s="26"/>
      <c r="H150" s="29"/>
      <c r="I150" s="29"/>
      <c r="J150" s="26"/>
      <c r="K150" s="26"/>
      <c r="L150" s="44"/>
      <c r="M150" s="26"/>
      <c r="N150" s="45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 x14ac:dyDescent="0.25">
      <c r="A151" s="26"/>
      <c r="B151" s="25" t="str">
        <f>IF($A151="","",IFERROR(INDEX('Inventario General'!$C$5:$C$304,MATCH($A151,'Inventario General'!$A$5:$A$304,0))&amp;"","No está en el inventario"))</f>
        <v/>
      </c>
      <c r="C151" s="25" t="str">
        <f>IF($A151="","",IFERROR(INDEX('Inventario General'!$D$5:$D$304,MATCH($A151,'Inventario General'!$A$5:$A$304,0))&amp;"","No está en el inventario"))</f>
        <v/>
      </c>
      <c r="D151" s="25" t="str">
        <f>IF($A151="","",IFERROR(INDEX('Inventario General'!$I$5:$I$304,MATCH($A151,'Inventario General'!$A$5:$A$304,0))&amp;"","No está en el inventario"))</f>
        <v/>
      </c>
      <c r="E151" s="26"/>
      <c r="F151" s="26"/>
      <c r="G151" s="26"/>
      <c r="H151" s="29"/>
      <c r="I151" s="29"/>
      <c r="J151" s="26"/>
      <c r="K151" s="26"/>
      <c r="L151" s="44"/>
      <c r="M151" s="26"/>
      <c r="N151" s="45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 x14ac:dyDescent="0.25">
      <c r="A152" s="26"/>
      <c r="B152" s="25" t="str">
        <f>IF($A152="","",IFERROR(INDEX('Inventario General'!$C$5:$C$304,MATCH($A152,'Inventario General'!$A$5:$A$304,0))&amp;"","No está en el inventario"))</f>
        <v/>
      </c>
      <c r="C152" s="25" t="str">
        <f>IF($A152="","",IFERROR(INDEX('Inventario General'!$D$5:$D$304,MATCH($A152,'Inventario General'!$A$5:$A$304,0))&amp;"","No está en el inventario"))</f>
        <v/>
      </c>
      <c r="D152" s="25" t="str">
        <f>IF($A152="","",IFERROR(INDEX('Inventario General'!$I$5:$I$304,MATCH($A152,'Inventario General'!$A$5:$A$304,0))&amp;"","No está en el inventario"))</f>
        <v/>
      </c>
      <c r="E152" s="26"/>
      <c r="F152" s="26"/>
      <c r="G152" s="26"/>
      <c r="H152" s="29"/>
      <c r="I152" s="29"/>
      <c r="J152" s="26"/>
      <c r="K152" s="26"/>
      <c r="L152" s="44"/>
      <c r="M152" s="26"/>
      <c r="N152" s="45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 x14ac:dyDescent="0.25">
      <c r="A153" s="26"/>
      <c r="B153" s="25" t="str">
        <f>IF($A153="","",IFERROR(INDEX('Inventario General'!$C$5:$C$304,MATCH($A153,'Inventario General'!$A$5:$A$304,0))&amp;"","No está en el inventario"))</f>
        <v/>
      </c>
      <c r="C153" s="25" t="str">
        <f>IF($A153="","",IFERROR(INDEX('Inventario General'!$D$5:$D$304,MATCH($A153,'Inventario General'!$A$5:$A$304,0))&amp;"","No está en el inventario"))</f>
        <v/>
      </c>
      <c r="D153" s="25" t="str">
        <f>IF($A153="","",IFERROR(INDEX('Inventario General'!$I$5:$I$304,MATCH($A153,'Inventario General'!$A$5:$A$304,0))&amp;"","No está en el inventario"))</f>
        <v/>
      </c>
      <c r="E153" s="26"/>
      <c r="F153" s="26"/>
      <c r="G153" s="26"/>
      <c r="H153" s="29"/>
      <c r="I153" s="29"/>
      <c r="J153" s="26"/>
      <c r="K153" s="26"/>
      <c r="L153" s="44"/>
      <c r="M153" s="26"/>
      <c r="N153" s="45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 x14ac:dyDescent="0.25">
      <c r="A154" s="26"/>
      <c r="B154" s="25" t="str">
        <f>IF($A154="","",IFERROR(INDEX('Inventario General'!$C$5:$C$304,MATCH($A154,'Inventario General'!$A$5:$A$304,0))&amp;"","No está en el inventario"))</f>
        <v/>
      </c>
      <c r="C154" s="25" t="str">
        <f>IF($A154="","",IFERROR(INDEX('Inventario General'!$D$5:$D$304,MATCH($A154,'Inventario General'!$A$5:$A$304,0))&amp;"","No está en el inventario"))</f>
        <v/>
      </c>
      <c r="D154" s="25" t="str">
        <f>IF($A154="","",IFERROR(INDEX('Inventario General'!$I$5:$I$304,MATCH($A154,'Inventario General'!$A$5:$A$304,0))&amp;"","No está en el inventario"))</f>
        <v/>
      </c>
      <c r="E154" s="26"/>
      <c r="F154" s="26"/>
      <c r="G154" s="26"/>
      <c r="H154" s="29"/>
      <c r="I154" s="29"/>
      <c r="J154" s="26"/>
      <c r="K154" s="26"/>
      <c r="L154" s="44"/>
      <c r="M154" s="26"/>
      <c r="N154" s="45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 x14ac:dyDescent="0.25">
      <c r="A155" s="26"/>
      <c r="B155" s="25" t="str">
        <f>IF($A155="","",IFERROR(INDEX('Inventario General'!$C$5:$C$304,MATCH($A155,'Inventario General'!$A$5:$A$304,0))&amp;"","No está en el inventario"))</f>
        <v/>
      </c>
      <c r="C155" s="25" t="str">
        <f>IF($A155="","",IFERROR(INDEX('Inventario General'!$D$5:$D$304,MATCH($A155,'Inventario General'!$A$5:$A$304,0))&amp;"","No está en el inventario"))</f>
        <v/>
      </c>
      <c r="D155" s="25" t="str">
        <f>IF($A155="","",IFERROR(INDEX('Inventario General'!$I$5:$I$304,MATCH($A155,'Inventario General'!$A$5:$A$304,0))&amp;"","No está en el inventario"))</f>
        <v/>
      </c>
      <c r="E155" s="26"/>
      <c r="F155" s="26"/>
      <c r="G155" s="26"/>
      <c r="H155" s="29"/>
      <c r="I155" s="29"/>
      <c r="J155" s="26"/>
      <c r="K155" s="26"/>
      <c r="L155" s="44"/>
      <c r="M155" s="26"/>
      <c r="N155" s="45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 x14ac:dyDescent="0.25">
      <c r="A156" s="26"/>
      <c r="B156" s="25" t="str">
        <f>IF($A156="","",IFERROR(INDEX('Inventario General'!$C$5:$C$304,MATCH($A156,'Inventario General'!$A$5:$A$304,0))&amp;"","No está en el inventario"))</f>
        <v/>
      </c>
      <c r="C156" s="25" t="str">
        <f>IF($A156="","",IFERROR(INDEX('Inventario General'!$D$5:$D$304,MATCH($A156,'Inventario General'!$A$5:$A$304,0))&amp;"","No está en el inventario"))</f>
        <v/>
      </c>
      <c r="D156" s="25" t="str">
        <f>IF($A156="","",IFERROR(INDEX('Inventario General'!$I$5:$I$304,MATCH($A156,'Inventario General'!$A$5:$A$304,0))&amp;"","No está en el inventario"))</f>
        <v/>
      </c>
      <c r="E156" s="26"/>
      <c r="F156" s="26"/>
      <c r="G156" s="26"/>
      <c r="H156" s="29"/>
      <c r="I156" s="29"/>
      <c r="J156" s="26"/>
      <c r="K156" s="26"/>
      <c r="L156" s="44"/>
      <c r="M156" s="26"/>
      <c r="N156" s="45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 x14ac:dyDescent="0.25">
      <c r="A157" s="26"/>
      <c r="B157" s="25" t="str">
        <f>IF($A157="","",IFERROR(INDEX('Inventario General'!$C$5:$C$304,MATCH($A157,'Inventario General'!$A$5:$A$304,0))&amp;"","No está en el inventario"))</f>
        <v/>
      </c>
      <c r="C157" s="25" t="str">
        <f>IF($A157="","",IFERROR(INDEX('Inventario General'!$D$5:$D$304,MATCH($A157,'Inventario General'!$A$5:$A$304,0))&amp;"","No está en el inventario"))</f>
        <v/>
      </c>
      <c r="D157" s="25" t="str">
        <f>IF($A157="","",IFERROR(INDEX('Inventario General'!$I$5:$I$304,MATCH($A157,'Inventario General'!$A$5:$A$304,0))&amp;"","No está en el inventario"))</f>
        <v/>
      </c>
      <c r="E157" s="26"/>
      <c r="F157" s="26"/>
      <c r="G157" s="26"/>
      <c r="H157" s="29"/>
      <c r="I157" s="29"/>
      <c r="J157" s="26"/>
      <c r="K157" s="26"/>
      <c r="L157" s="44"/>
      <c r="M157" s="26"/>
      <c r="N157" s="45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 x14ac:dyDescent="0.25">
      <c r="A158" s="26"/>
      <c r="B158" s="25" t="str">
        <f>IF($A158="","",IFERROR(INDEX('Inventario General'!$C$5:$C$304,MATCH($A158,'Inventario General'!$A$5:$A$304,0))&amp;"","No está en el inventario"))</f>
        <v/>
      </c>
      <c r="C158" s="25" t="str">
        <f>IF($A158="","",IFERROR(INDEX('Inventario General'!$D$5:$D$304,MATCH($A158,'Inventario General'!$A$5:$A$304,0))&amp;"","No está en el inventario"))</f>
        <v/>
      </c>
      <c r="D158" s="25" t="str">
        <f>IF($A158="","",IFERROR(INDEX('Inventario General'!$I$5:$I$304,MATCH($A158,'Inventario General'!$A$5:$A$304,0))&amp;"","No está en el inventario"))</f>
        <v/>
      </c>
      <c r="E158" s="26"/>
      <c r="F158" s="26"/>
      <c r="G158" s="26"/>
      <c r="H158" s="29"/>
      <c r="I158" s="29"/>
      <c r="J158" s="26"/>
      <c r="K158" s="26"/>
      <c r="L158" s="44"/>
      <c r="M158" s="26"/>
      <c r="N158" s="45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 x14ac:dyDescent="0.25">
      <c r="A159" s="26"/>
      <c r="B159" s="25" t="str">
        <f>IF($A159="","",IFERROR(INDEX('Inventario General'!$C$5:$C$304,MATCH($A159,'Inventario General'!$A$5:$A$304,0))&amp;"","No está en el inventario"))</f>
        <v/>
      </c>
      <c r="C159" s="25" t="str">
        <f>IF($A159="","",IFERROR(INDEX('Inventario General'!$D$5:$D$304,MATCH($A159,'Inventario General'!$A$5:$A$304,0))&amp;"","No está en el inventario"))</f>
        <v/>
      </c>
      <c r="D159" s="25" t="str">
        <f>IF($A159="","",IFERROR(INDEX('Inventario General'!$I$5:$I$304,MATCH($A159,'Inventario General'!$A$5:$A$304,0))&amp;"","No está en el inventario"))</f>
        <v/>
      </c>
      <c r="E159" s="26"/>
      <c r="F159" s="26"/>
      <c r="G159" s="26"/>
      <c r="H159" s="29"/>
      <c r="I159" s="29"/>
      <c r="J159" s="26"/>
      <c r="K159" s="26"/>
      <c r="L159" s="44"/>
      <c r="M159" s="26"/>
      <c r="N159" s="45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 x14ac:dyDescent="0.25">
      <c r="A160" s="26"/>
      <c r="B160" s="25" t="str">
        <f>IF($A160="","",IFERROR(INDEX('Inventario General'!$C$5:$C$304,MATCH($A160,'Inventario General'!$A$5:$A$304,0))&amp;"","No está en el inventario"))</f>
        <v/>
      </c>
      <c r="C160" s="25" t="str">
        <f>IF($A160="","",IFERROR(INDEX('Inventario General'!$D$5:$D$304,MATCH($A160,'Inventario General'!$A$5:$A$304,0))&amp;"","No está en el inventario"))</f>
        <v/>
      </c>
      <c r="D160" s="25" t="str">
        <f>IF($A160="","",IFERROR(INDEX('Inventario General'!$I$5:$I$304,MATCH($A160,'Inventario General'!$A$5:$A$304,0))&amp;"","No está en el inventario"))</f>
        <v/>
      </c>
      <c r="E160" s="26"/>
      <c r="F160" s="26"/>
      <c r="G160" s="26"/>
      <c r="H160" s="29"/>
      <c r="I160" s="29"/>
      <c r="J160" s="26"/>
      <c r="K160" s="26"/>
      <c r="L160" s="44"/>
      <c r="M160" s="26"/>
      <c r="N160" s="45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 x14ac:dyDescent="0.25">
      <c r="A161" s="26"/>
      <c r="B161" s="25" t="str">
        <f>IF($A161="","",IFERROR(INDEX('Inventario General'!$C$5:$C$304,MATCH($A161,'Inventario General'!$A$5:$A$304,0))&amp;"","No está en el inventario"))</f>
        <v/>
      </c>
      <c r="C161" s="25" t="str">
        <f>IF($A161="","",IFERROR(INDEX('Inventario General'!$D$5:$D$304,MATCH($A161,'Inventario General'!$A$5:$A$304,0))&amp;"","No está en el inventario"))</f>
        <v/>
      </c>
      <c r="D161" s="25" t="str">
        <f>IF($A161="","",IFERROR(INDEX('Inventario General'!$I$5:$I$304,MATCH($A161,'Inventario General'!$A$5:$A$304,0))&amp;"","No está en el inventario"))</f>
        <v/>
      </c>
      <c r="E161" s="26"/>
      <c r="F161" s="26"/>
      <c r="G161" s="26"/>
      <c r="H161" s="29"/>
      <c r="I161" s="29"/>
      <c r="J161" s="26"/>
      <c r="K161" s="26"/>
      <c r="L161" s="44"/>
      <c r="M161" s="26"/>
      <c r="N161" s="45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 x14ac:dyDescent="0.25">
      <c r="A162" s="26"/>
      <c r="B162" s="25" t="str">
        <f>IF($A162="","",IFERROR(INDEX('Inventario General'!$C$5:$C$304,MATCH($A162,'Inventario General'!$A$5:$A$304,0))&amp;"","No está en el inventario"))</f>
        <v/>
      </c>
      <c r="C162" s="25" t="str">
        <f>IF($A162="","",IFERROR(INDEX('Inventario General'!$D$5:$D$304,MATCH($A162,'Inventario General'!$A$5:$A$304,0))&amp;"","No está en el inventario"))</f>
        <v/>
      </c>
      <c r="D162" s="25" t="str">
        <f>IF($A162="","",IFERROR(INDEX('Inventario General'!$I$5:$I$304,MATCH($A162,'Inventario General'!$A$5:$A$304,0))&amp;"","No está en el inventario"))</f>
        <v/>
      </c>
      <c r="E162" s="26"/>
      <c r="F162" s="26"/>
      <c r="G162" s="26"/>
      <c r="H162" s="29"/>
      <c r="I162" s="29"/>
      <c r="J162" s="26"/>
      <c r="K162" s="26"/>
      <c r="L162" s="44"/>
      <c r="M162" s="26"/>
      <c r="N162" s="45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 x14ac:dyDescent="0.25">
      <c r="A163" s="26"/>
      <c r="B163" s="25" t="str">
        <f>IF($A163="","",IFERROR(INDEX('Inventario General'!$C$5:$C$304,MATCH($A163,'Inventario General'!$A$5:$A$304,0))&amp;"","No está en el inventario"))</f>
        <v/>
      </c>
      <c r="C163" s="25" t="str">
        <f>IF($A163="","",IFERROR(INDEX('Inventario General'!$D$5:$D$304,MATCH($A163,'Inventario General'!$A$5:$A$304,0))&amp;"","No está en el inventario"))</f>
        <v/>
      </c>
      <c r="D163" s="25" t="str">
        <f>IF($A163="","",IFERROR(INDEX('Inventario General'!$I$5:$I$304,MATCH($A163,'Inventario General'!$A$5:$A$304,0))&amp;"","No está en el inventario"))</f>
        <v/>
      </c>
      <c r="E163" s="26"/>
      <c r="F163" s="26"/>
      <c r="G163" s="26"/>
      <c r="H163" s="29"/>
      <c r="I163" s="29"/>
      <c r="J163" s="26"/>
      <c r="K163" s="26"/>
      <c r="L163" s="44"/>
      <c r="M163" s="26"/>
      <c r="N163" s="45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 x14ac:dyDescent="0.25">
      <c r="A164" s="26"/>
      <c r="B164" s="25" t="str">
        <f>IF($A164="","",IFERROR(INDEX('Inventario General'!$C$5:$C$304,MATCH($A164,'Inventario General'!$A$5:$A$304,0))&amp;"","No está en el inventario"))</f>
        <v/>
      </c>
      <c r="C164" s="25" t="str">
        <f>IF($A164="","",IFERROR(INDEX('Inventario General'!$D$5:$D$304,MATCH($A164,'Inventario General'!$A$5:$A$304,0))&amp;"","No está en el inventario"))</f>
        <v/>
      </c>
      <c r="D164" s="25" t="str">
        <f>IF($A164="","",IFERROR(INDEX('Inventario General'!$I$5:$I$304,MATCH($A164,'Inventario General'!$A$5:$A$304,0))&amp;"","No está en el inventario"))</f>
        <v/>
      </c>
      <c r="E164" s="26"/>
      <c r="F164" s="26"/>
      <c r="G164" s="26"/>
      <c r="H164" s="29"/>
      <c r="I164" s="29"/>
      <c r="J164" s="26"/>
      <c r="K164" s="26"/>
      <c r="L164" s="44"/>
      <c r="M164" s="26"/>
      <c r="N164" s="45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 x14ac:dyDescent="0.25">
      <c r="A165" s="26"/>
      <c r="B165" s="25" t="str">
        <f>IF($A165="","",IFERROR(INDEX('Inventario General'!$C$5:$C$304,MATCH($A165,'Inventario General'!$A$5:$A$304,0))&amp;"","No está en el inventario"))</f>
        <v/>
      </c>
      <c r="C165" s="25" t="str">
        <f>IF($A165="","",IFERROR(INDEX('Inventario General'!$D$5:$D$304,MATCH($A165,'Inventario General'!$A$5:$A$304,0))&amp;"","No está en el inventario"))</f>
        <v/>
      </c>
      <c r="D165" s="25" t="str">
        <f>IF($A165="","",IFERROR(INDEX('Inventario General'!$I$5:$I$304,MATCH($A165,'Inventario General'!$A$5:$A$304,0))&amp;"","No está en el inventario"))</f>
        <v/>
      </c>
      <c r="E165" s="26"/>
      <c r="F165" s="26"/>
      <c r="G165" s="26"/>
      <c r="H165" s="29"/>
      <c r="I165" s="29"/>
      <c r="J165" s="26"/>
      <c r="K165" s="26"/>
      <c r="L165" s="44"/>
      <c r="M165" s="26"/>
      <c r="N165" s="45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 x14ac:dyDescent="0.25">
      <c r="A166" s="26"/>
      <c r="B166" s="25" t="str">
        <f>IF($A166="","",IFERROR(INDEX('Inventario General'!$C$5:$C$304,MATCH($A166,'Inventario General'!$A$5:$A$304,0))&amp;"","No está en el inventario"))</f>
        <v/>
      </c>
      <c r="C166" s="25" t="str">
        <f>IF($A166="","",IFERROR(INDEX('Inventario General'!$D$5:$D$304,MATCH($A166,'Inventario General'!$A$5:$A$304,0))&amp;"","No está en el inventario"))</f>
        <v/>
      </c>
      <c r="D166" s="25" t="str">
        <f>IF($A166="","",IFERROR(INDEX('Inventario General'!$I$5:$I$304,MATCH($A166,'Inventario General'!$A$5:$A$304,0))&amp;"","No está en el inventario"))</f>
        <v/>
      </c>
      <c r="E166" s="26"/>
      <c r="F166" s="26"/>
      <c r="G166" s="26"/>
      <c r="H166" s="29"/>
      <c r="I166" s="29"/>
      <c r="J166" s="26"/>
      <c r="K166" s="26"/>
      <c r="L166" s="44"/>
      <c r="M166" s="26"/>
      <c r="N166" s="45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 x14ac:dyDescent="0.25">
      <c r="A167" s="26"/>
      <c r="B167" s="25" t="str">
        <f>IF($A167="","",IFERROR(INDEX('Inventario General'!$C$5:$C$304,MATCH($A167,'Inventario General'!$A$5:$A$304,0))&amp;"","No está en el inventario"))</f>
        <v/>
      </c>
      <c r="C167" s="25" t="str">
        <f>IF($A167="","",IFERROR(INDEX('Inventario General'!$D$5:$D$304,MATCH($A167,'Inventario General'!$A$5:$A$304,0))&amp;"","No está en el inventario"))</f>
        <v/>
      </c>
      <c r="D167" s="25" t="str">
        <f>IF($A167="","",IFERROR(INDEX('Inventario General'!$I$5:$I$304,MATCH($A167,'Inventario General'!$A$5:$A$304,0))&amp;"","No está en el inventario"))</f>
        <v/>
      </c>
      <c r="E167" s="26"/>
      <c r="F167" s="26"/>
      <c r="G167" s="26"/>
      <c r="H167" s="29"/>
      <c r="I167" s="29"/>
      <c r="J167" s="26"/>
      <c r="K167" s="26"/>
      <c r="L167" s="44"/>
      <c r="M167" s="26"/>
      <c r="N167" s="45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 x14ac:dyDescent="0.25">
      <c r="A168" s="26"/>
      <c r="B168" s="25" t="str">
        <f>IF($A168="","",IFERROR(INDEX('Inventario General'!$C$5:$C$304,MATCH($A168,'Inventario General'!$A$5:$A$304,0))&amp;"","No está en el inventario"))</f>
        <v/>
      </c>
      <c r="C168" s="25" t="str">
        <f>IF($A168="","",IFERROR(INDEX('Inventario General'!$D$5:$D$304,MATCH($A168,'Inventario General'!$A$5:$A$304,0))&amp;"","No está en el inventario"))</f>
        <v/>
      </c>
      <c r="D168" s="25" t="str">
        <f>IF($A168="","",IFERROR(INDEX('Inventario General'!$I$5:$I$304,MATCH($A168,'Inventario General'!$A$5:$A$304,0))&amp;"","No está en el inventario"))</f>
        <v/>
      </c>
      <c r="E168" s="26"/>
      <c r="F168" s="26"/>
      <c r="G168" s="26"/>
      <c r="H168" s="29"/>
      <c r="I168" s="29"/>
      <c r="J168" s="26"/>
      <c r="K168" s="26"/>
      <c r="L168" s="44"/>
      <c r="M168" s="26"/>
      <c r="N168" s="45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 x14ac:dyDescent="0.25">
      <c r="A169" s="26"/>
      <c r="B169" s="25" t="str">
        <f>IF($A169="","",IFERROR(INDEX('Inventario General'!$C$5:$C$304,MATCH($A169,'Inventario General'!$A$5:$A$304,0))&amp;"","No está en el inventario"))</f>
        <v/>
      </c>
      <c r="C169" s="25" t="str">
        <f>IF($A169="","",IFERROR(INDEX('Inventario General'!$D$5:$D$304,MATCH($A169,'Inventario General'!$A$5:$A$304,0))&amp;"","No está en el inventario"))</f>
        <v/>
      </c>
      <c r="D169" s="25" t="str">
        <f>IF($A169="","",IFERROR(INDEX('Inventario General'!$I$5:$I$304,MATCH($A169,'Inventario General'!$A$5:$A$304,0))&amp;"","No está en el inventario"))</f>
        <v/>
      </c>
      <c r="E169" s="26"/>
      <c r="F169" s="26"/>
      <c r="G169" s="26"/>
      <c r="H169" s="29"/>
      <c r="I169" s="29"/>
      <c r="J169" s="26"/>
      <c r="K169" s="26"/>
      <c r="L169" s="44"/>
      <c r="M169" s="26"/>
      <c r="N169" s="45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 x14ac:dyDescent="0.25">
      <c r="A170" s="26"/>
      <c r="B170" s="25" t="str">
        <f>IF($A170="","",IFERROR(INDEX('Inventario General'!$C$5:$C$304,MATCH($A170,'Inventario General'!$A$5:$A$304,0))&amp;"","No está en el inventario"))</f>
        <v/>
      </c>
      <c r="C170" s="25" t="str">
        <f>IF($A170="","",IFERROR(INDEX('Inventario General'!$D$5:$D$304,MATCH($A170,'Inventario General'!$A$5:$A$304,0))&amp;"","No está en el inventario"))</f>
        <v/>
      </c>
      <c r="D170" s="25" t="str">
        <f>IF($A170="","",IFERROR(INDEX('Inventario General'!$I$5:$I$304,MATCH($A170,'Inventario General'!$A$5:$A$304,0))&amp;"","No está en el inventario"))</f>
        <v/>
      </c>
      <c r="E170" s="26"/>
      <c r="F170" s="26"/>
      <c r="G170" s="26"/>
      <c r="H170" s="29"/>
      <c r="I170" s="29"/>
      <c r="J170" s="26"/>
      <c r="K170" s="26"/>
      <c r="L170" s="44"/>
      <c r="M170" s="26"/>
      <c r="N170" s="45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 x14ac:dyDescent="0.25">
      <c r="A171" s="26"/>
      <c r="B171" s="25" t="str">
        <f>IF($A171="","",IFERROR(INDEX('Inventario General'!$C$5:$C$304,MATCH($A171,'Inventario General'!$A$5:$A$304,0))&amp;"","No está en el inventario"))</f>
        <v/>
      </c>
      <c r="C171" s="25" t="str">
        <f>IF($A171="","",IFERROR(INDEX('Inventario General'!$D$5:$D$304,MATCH($A171,'Inventario General'!$A$5:$A$304,0))&amp;"","No está en el inventario"))</f>
        <v/>
      </c>
      <c r="D171" s="25" t="str">
        <f>IF($A171="","",IFERROR(INDEX('Inventario General'!$I$5:$I$304,MATCH($A171,'Inventario General'!$A$5:$A$304,0))&amp;"","No está en el inventario"))</f>
        <v/>
      </c>
      <c r="E171" s="26"/>
      <c r="F171" s="26"/>
      <c r="G171" s="26"/>
      <c r="H171" s="29"/>
      <c r="I171" s="29"/>
      <c r="J171" s="26"/>
      <c r="K171" s="26"/>
      <c r="L171" s="44"/>
      <c r="M171" s="26"/>
      <c r="N171" s="45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 x14ac:dyDescent="0.25">
      <c r="A172" s="26"/>
      <c r="B172" s="25" t="str">
        <f>IF($A172="","",IFERROR(INDEX('Inventario General'!$C$5:$C$304,MATCH($A172,'Inventario General'!$A$5:$A$304,0))&amp;"","No está en el inventario"))</f>
        <v/>
      </c>
      <c r="C172" s="25" t="str">
        <f>IF($A172="","",IFERROR(INDEX('Inventario General'!$D$5:$D$304,MATCH($A172,'Inventario General'!$A$5:$A$304,0))&amp;"","No está en el inventario"))</f>
        <v/>
      </c>
      <c r="D172" s="25" t="str">
        <f>IF($A172="","",IFERROR(INDEX('Inventario General'!$I$5:$I$304,MATCH($A172,'Inventario General'!$A$5:$A$304,0))&amp;"","No está en el inventario"))</f>
        <v/>
      </c>
      <c r="E172" s="26"/>
      <c r="F172" s="26"/>
      <c r="G172" s="26"/>
      <c r="H172" s="29"/>
      <c r="I172" s="29"/>
      <c r="J172" s="26"/>
      <c r="K172" s="26"/>
      <c r="L172" s="44"/>
      <c r="M172" s="26"/>
      <c r="N172" s="45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 x14ac:dyDescent="0.25">
      <c r="A173" s="26"/>
      <c r="B173" s="25" t="str">
        <f>IF($A173="","",IFERROR(INDEX('Inventario General'!$C$5:$C$304,MATCH($A173,'Inventario General'!$A$5:$A$304,0))&amp;"","No está en el inventario"))</f>
        <v/>
      </c>
      <c r="C173" s="25" t="str">
        <f>IF($A173="","",IFERROR(INDEX('Inventario General'!$D$5:$D$304,MATCH($A173,'Inventario General'!$A$5:$A$304,0))&amp;"","No está en el inventario"))</f>
        <v/>
      </c>
      <c r="D173" s="25" t="str">
        <f>IF($A173="","",IFERROR(INDEX('Inventario General'!$I$5:$I$304,MATCH($A173,'Inventario General'!$A$5:$A$304,0))&amp;"","No está en el inventario"))</f>
        <v/>
      </c>
      <c r="E173" s="26"/>
      <c r="F173" s="26"/>
      <c r="G173" s="26"/>
      <c r="H173" s="29"/>
      <c r="I173" s="29"/>
      <c r="J173" s="26"/>
      <c r="K173" s="26"/>
      <c r="L173" s="44"/>
      <c r="M173" s="26"/>
      <c r="N173" s="45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 x14ac:dyDescent="0.25">
      <c r="A174" s="26"/>
      <c r="B174" s="25" t="str">
        <f>IF($A174="","",IFERROR(INDEX('Inventario General'!$C$5:$C$304,MATCH($A174,'Inventario General'!$A$5:$A$304,0))&amp;"","No está en el inventario"))</f>
        <v/>
      </c>
      <c r="C174" s="25" t="str">
        <f>IF($A174="","",IFERROR(INDEX('Inventario General'!$D$5:$D$304,MATCH($A174,'Inventario General'!$A$5:$A$304,0))&amp;"","No está en el inventario"))</f>
        <v/>
      </c>
      <c r="D174" s="25" t="str">
        <f>IF($A174="","",IFERROR(INDEX('Inventario General'!$I$5:$I$304,MATCH($A174,'Inventario General'!$A$5:$A$304,0))&amp;"","No está en el inventario"))</f>
        <v/>
      </c>
      <c r="E174" s="26"/>
      <c r="F174" s="26"/>
      <c r="G174" s="26"/>
      <c r="H174" s="29"/>
      <c r="I174" s="29"/>
      <c r="J174" s="26"/>
      <c r="K174" s="26"/>
      <c r="L174" s="44"/>
      <c r="M174" s="26"/>
      <c r="N174" s="45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 x14ac:dyDescent="0.25">
      <c r="A175" s="26"/>
      <c r="B175" s="25" t="str">
        <f>IF($A175="","",IFERROR(INDEX('Inventario General'!$C$5:$C$304,MATCH($A175,'Inventario General'!$A$5:$A$304,0))&amp;"","No está en el inventario"))</f>
        <v/>
      </c>
      <c r="C175" s="25" t="str">
        <f>IF($A175="","",IFERROR(INDEX('Inventario General'!$D$5:$D$304,MATCH($A175,'Inventario General'!$A$5:$A$304,0))&amp;"","No está en el inventario"))</f>
        <v/>
      </c>
      <c r="D175" s="25" t="str">
        <f>IF($A175="","",IFERROR(INDEX('Inventario General'!$I$5:$I$304,MATCH($A175,'Inventario General'!$A$5:$A$304,0))&amp;"","No está en el inventario"))</f>
        <v/>
      </c>
      <c r="E175" s="26"/>
      <c r="F175" s="26"/>
      <c r="G175" s="26"/>
      <c r="H175" s="29"/>
      <c r="I175" s="29"/>
      <c r="J175" s="26"/>
      <c r="K175" s="26"/>
      <c r="L175" s="44"/>
      <c r="M175" s="26"/>
      <c r="N175" s="45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 x14ac:dyDescent="0.25">
      <c r="A176" s="26"/>
      <c r="B176" s="25" t="str">
        <f>IF($A176="","",IFERROR(INDEX('Inventario General'!$C$5:$C$304,MATCH($A176,'Inventario General'!$A$5:$A$304,0))&amp;"","No está en el inventario"))</f>
        <v/>
      </c>
      <c r="C176" s="25" t="str">
        <f>IF($A176="","",IFERROR(INDEX('Inventario General'!$D$5:$D$304,MATCH($A176,'Inventario General'!$A$5:$A$304,0))&amp;"","No está en el inventario"))</f>
        <v/>
      </c>
      <c r="D176" s="25" t="str">
        <f>IF($A176="","",IFERROR(INDEX('Inventario General'!$I$5:$I$304,MATCH($A176,'Inventario General'!$A$5:$A$304,0))&amp;"","No está en el inventario"))</f>
        <v/>
      </c>
      <c r="E176" s="26"/>
      <c r="F176" s="26"/>
      <c r="G176" s="26"/>
      <c r="H176" s="29"/>
      <c r="I176" s="29"/>
      <c r="J176" s="26"/>
      <c r="K176" s="26"/>
      <c r="L176" s="44"/>
      <c r="M176" s="26"/>
      <c r="N176" s="45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 x14ac:dyDescent="0.25">
      <c r="A177" s="26"/>
      <c r="B177" s="25" t="str">
        <f>IF($A177="","",IFERROR(INDEX('Inventario General'!$C$5:$C$304,MATCH($A177,'Inventario General'!$A$5:$A$304,0))&amp;"","No está en el inventario"))</f>
        <v/>
      </c>
      <c r="C177" s="25" t="str">
        <f>IF($A177="","",IFERROR(INDEX('Inventario General'!$D$5:$D$304,MATCH($A177,'Inventario General'!$A$5:$A$304,0))&amp;"","No está en el inventario"))</f>
        <v/>
      </c>
      <c r="D177" s="25" t="str">
        <f>IF($A177="","",IFERROR(INDEX('Inventario General'!$I$5:$I$304,MATCH($A177,'Inventario General'!$A$5:$A$304,0))&amp;"","No está en el inventario"))</f>
        <v/>
      </c>
      <c r="E177" s="26"/>
      <c r="F177" s="26"/>
      <c r="G177" s="26"/>
      <c r="H177" s="29"/>
      <c r="I177" s="29"/>
      <c r="J177" s="26"/>
      <c r="K177" s="26"/>
      <c r="L177" s="44"/>
      <c r="M177" s="26"/>
      <c r="N177" s="45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 x14ac:dyDescent="0.25">
      <c r="A178" s="26"/>
      <c r="B178" s="25" t="str">
        <f>IF($A178="","",IFERROR(INDEX('Inventario General'!$C$5:$C$304,MATCH($A178,'Inventario General'!$A$5:$A$304,0))&amp;"","No está en el inventario"))</f>
        <v/>
      </c>
      <c r="C178" s="25" t="str">
        <f>IF($A178="","",IFERROR(INDEX('Inventario General'!$D$5:$D$304,MATCH($A178,'Inventario General'!$A$5:$A$304,0))&amp;"","No está en el inventario"))</f>
        <v/>
      </c>
      <c r="D178" s="25" t="str">
        <f>IF($A178="","",IFERROR(INDEX('Inventario General'!$I$5:$I$304,MATCH($A178,'Inventario General'!$A$5:$A$304,0))&amp;"","No está en el inventario"))</f>
        <v/>
      </c>
      <c r="E178" s="26"/>
      <c r="F178" s="26"/>
      <c r="G178" s="26"/>
      <c r="H178" s="29"/>
      <c r="I178" s="29"/>
      <c r="J178" s="26"/>
      <c r="K178" s="26"/>
      <c r="L178" s="44"/>
      <c r="M178" s="26"/>
      <c r="N178" s="45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 x14ac:dyDescent="0.25">
      <c r="A179" s="26"/>
      <c r="B179" s="25" t="str">
        <f>IF($A179="","",IFERROR(INDEX('Inventario General'!$C$5:$C$304,MATCH($A179,'Inventario General'!$A$5:$A$304,0))&amp;"","No está en el inventario"))</f>
        <v/>
      </c>
      <c r="C179" s="25" t="str">
        <f>IF($A179="","",IFERROR(INDEX('Inventario General'!$D$5:$D$304,MATCH($A179,'Inventario General'!$A$5:$A$304,0))&amp;"","No está en el inventario"))</f>
        <v/>
      </c>
      <c r="D179" s="25" t="str">
        <f>IF($A179="","",IFERROR(INDEX('Inventario General'!$I$5:$I$304,MATCH($A179,'Inventario General'!$A$5:$A$304,0))&amp;"","No está en el inventario"))</f>
        <v/>
      </c>
      <c r="E179" s="26"/>
      <c r="F179" s="26"/>
      <c r="G179" s="26"/>
      <c r="H179" s="29"/>
      <c r="I179" s="29"/>
      <c r="J179" s="26"/>
      <c r="K179" s="26"/>
      <c r="L179" s="44"/>
      <c r="M179" s="26"/>
      <c r="N179" s="45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x14ac:dyDescent="0.25">
      <c r="A180" s="26"/>
      <c r="B180" s="25" t="str">
        <f>IF($A180="","",IFERROR(INDEX('Inventario General'!$C$5:$C$304,MATCH($A180,'Inventario General'!$A$5:$A$304,0))&amp;"","No está en el inventario"))</f>
        <v/>
      </c>
      <c r="C180" s="25" t="str">
        <f>IF($A180="","",IFERROR(INDEX('Inventario General'!$D$5:$D$304,MATCH($A180,'Inventario General'!$A$5:$A$304,0))&amp;"","No está en el inventario"))</f>
        <v/>
      </c>
      <c r="D180" s="25" t="str">
        <f>IF($A180="","",IFERROR(INDEX('Inventario General'!$I$5:$I$304,MATCH($A180,'Inventario General'!$A$5:$A$304,0))&amp;"","No está en el inventario"))</f>
        <v/>
      </c>
      <c r="E180" s="26"/>
      <c r="F180" s="26"/>
      <c r="G180" s="26"/>
      <c r="H180" s="29"/>
      <c r="I180" s="29"/>
      <c r="J180" s="26"/>
      <c r="K180" s="26"/>
      <c r="L180" s="44"/>
      <c r="M180" s="26"/>
      <c r="N180" s="45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 x14ac:dyDescent="0.25">
      <c r="A181" s="26"/>
      <c r="B181" s="25" t="str">
        <f>IF($A181="","",IFERROR(INDEX('Inventario General'!$C$5:$C$304,MATCH($A181,'Inventario General'!$A$5:$A$304,0))&amp;"","No está en el inventario"))</f>
        <v/>
      </c>
      <c r="C181" s="25" t="str">
        <f>IF($A181="","",IFERROR(INDEX('Inventario General'!$D$5:$D$304,MATCH($A181,'Inventario General'!$A$5:$A$304,0))&amp;"","No está en el inventario"))</f>
        <v/>
      </c>
      <c r="D181" s="25" t="str">
        <f>IF($A181="","",IFERROR(INDEX('Inventario General'!$I$5:$I$304,MATCH($A181,'Inventario General'!$A$5:$A$304,0))&amp;"","No está en el inventario"))</f>
        <v/>
      </c>
      <c r="E181" s="26"/>
      <c r="F181" s="26"/>
      <c r="G181" s="26"/>
      <c r="H181" s="29"/>
      <c r="I181" s="29"/>
      <c r="J181" s="26"/>
      <c r="K181" s="26"/>
      <c r="L181" s="44"/>
      <c r="M181" s="26"/>
      <c r="N181" s="45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x14ac:dyDescent="0.25">
      <c r="A182" s="26"/>
      <c r="B182" s="25" t="str">
        <f>IF($A182="","",IFERROR(INDEX('Inventario General'!$C$5:$C$304,MATCH($A182,'Inventario General'!$A$5:$A$304,0))&amp;"","No está en el inventario"))</f>
        <v/>
      </c>
      <c r="C182" s="25" t="str">
        <f>IF($A182="","",IFERROR(INDEX('Inventario General'!$D$5:$D$304,MATCH($A182,'Inventario General'!$A$5:$A$304,0))&amp;"","No está en el inventario"))</f>
        <v/>
      </c>
      <c r="D182" s="25" t="str">
        <f>IF($A182="","",IFERROR(INDEX('Inventario General'!$I$5:$I$304,MATCH($A182,'Inventario General'!$A$5:$A$304,0))&amp;"","No está en el inventario"))</f>
        <v/>
      </c>
      <c r="E182" s="26"/>
      <c r="F182" s="26"/>
      <c r="G182" s="26"/>
      <c r="H182" s="29"/>
      <c r="I182" s="29"/>
      <c r="J182" s="26"/>
      <c r="K182" s="26"/>
      <c r="L182" s="44"/>
      <c r="M182" s="26"/>
      <c r="N182" s="45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 x14ac:dyDescent="0.25">
      <c r="A183" s="26"/>
      <c r="B183" s="25" t="str">
        <f>IF($A183="","",IFERROR(INDEX('Inventario General'!$C$5:$C$304,MATCH($A183,'Inventario General'!$A$5:$A$304,0))&amp;"","No está en el inventario"))</f>
        <v/>
      </c>
      <c r="C183" s="25" t="str">
        <f>IF($A183="","",IFERROR(INDEX('Inventario General'!$D$5:$D$304,MATCH($A183,'Inventario General'!$A$5:$A$304,0))&amp;"","No está en el inventario"))</f>
        <v/>
      </c>
      <c r="D183" s="25" t="str">
        <f>IF($A183="","",IFERROR(INDEX('Inventario General'!$I$5:$I$304,MATCH($A183,'Inventario General'!$A$5:$A$304,0))&amp;"","No está en el inventario"))</f>
        <v/>
      </c>
      <c r="E183" s="26"/>
      <c r="F183" s="26"/>
      <c r="G183" s="26"/>
      <c r="H183" s="29"/>
      <c r="I183" s="29"/>
      <c r="J183" s="26"/>
      <c r="K183" s="26"/>
      <c r="L183" s="44"/>
      <c r="M183" s="26"/>
      <c r="N183" s="45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 x14ac:dyDescent="0.25">
      <c r="A184" s="26"/>
      <c r="B184" s="25" t="str">
        <f>IF($A184="","",IFERROR(INDEX('Inventario General'!$C$5:$C$304,MATCH($A184,'Inventario General'!$A$5:$A$304,0))&amp;"","No está en el inventario"))</f>
        <v/>
      </c>
      <c r="C184" s="25" t="str">
        <f>IF($A184="","",IFERROR(INDEX('Inventario General'!$D$5:$D$304,MATCH($A184,'Inventario General'!$A$5:$A$304,0))&amp;"","No está en el inventario"))</f>
        <v/>
      </c>
      <c r="D184" s="25" t="str">
        <f>IF($A184="","",IFERROR(INDEX('Inventario General'!$I$5:$I$304,MATCH($A184,'Inventario General'!$A$5:$A$304,0))&amp;"","No está en el inventario"))</f>
        <v/>
      </c>
      <c r="E184" s="26"/>
      <c r="F184" s="26"/>
      <c r="G184" s="26"/>
      <c r="H184" s="29"/>
      <c r="I184" s="29"/>
      <c r="J184" s="26"/>
      <c r="K184" s="26"/>
      <c r="L184" s="44"/>
      <c r="M184" s="26"/>
      <c r="N184" s="45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 x14ac:dyDescent="0.25">
      <c r="A185" s="26"/>
      <c r="B185" s="25" t="str">
        <f>IF($A185="","",IFERROR(INDEX('Inventario General'!$C$5:$C$304,MATCH($A185,'Inventario General'!$A$5:$A$304,0))&amp;"","No está en el inventario"))</f>
        <v/>
      </c>
      <c r="C185" s="25" t="str">
        <f>IF($A185="","",IFERROR(INDEX('Inventario General'!$D$5:$D$304,MATCH($A185,'Inventario General'!$A$5:$A$304,0))&amp;"","No está en el inventario"))</f>
        <v/>
      </c>
      <c r="D185" s="25" t="str">
        <f>IF($A185="","",IFERROR(INDEX('Inventario General'!$I$5:$I$304,MATCH($A185,'Inventario General'!$A$5:$A$304,0))&amp;"","No está en el inventario"))</f>
        <v/>
      </c>
      <c r="E185" s="26"/>
      <c r="F185" s="26"/>
      <c r="G185" s="26"/>
      <c r="H185" s="29"/>
      <c r="I185" s="29"/>
      <c r="J185" s="26"/>
      <c r="K185" s="26"/>
      <c r="L185" s="44"/>
      <c r="M185" s="26"/>
      <c r="N185" s="45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 x14ac:dyDescent="0.25">
      <c r="A186" s="26"/>
      <c r="B186" s="25" t="str">
        <f>IF($A186="","",IFERROR(INDEX('Inventario General'!$C$5:$C$304,MATCH($A186,'Inventario General'!$A$5:$A$304,0))&amp;"","No está en el inventario"))</f>
        <v/>
      </c>
      <c r="C186" s="25" t="str">
        <f>IF($A186="","",IFERROR(INDEX('Inventario General'!$D$5:$D$304,MATCH($A186,'Inventario General'!$A$5:$A$304,0))&amp;"","No está en el inventario"))</f>
        <v/>
      </c>
      <c r="D186" s="25" t="str">
        <f>IF($A186="","",IFERROR(INDEX('Inventario General'!$I$5:$I$304,MATCH($A186,'Inventario General'!$A$5:$A$304,0))&amp;"","No está en el inventario"))</f>
        <v/>
      </c>
      <c r="E186" s="26"/>
      <c r="F186" s="26"/>
      <c r="G186" s="26"/>
      <c r="H186" s="29"/>
      <c r="I186" s="29"/>
      <c r="J186" s="26"/>
      <c r="K186" s="26"/>
      <c r="L186" s="44"/>
      <c r="M186" s="26"/>
      <c r="N186" s="45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 x14ac:dyDescent="0.25">
      <c r="A187" s="26"/>
      <c r="B187" s="25" t="str">
        <f>IF($A187="","",IFERROR(INDEX('Inventario General'!$C$5:$C$304,MATCH($A187,'Inventario General'!$A$5:$A$304,0))&amp;"","No está en el inventario"))</f>
        <v/>
      </c>
      <c r="C187" s="25" t="str">
        <f>IF($A187="","",IFERROR(INDEX('Inventario General'!$D$5:$D$304,MATCH($A187,'Inventario General'!$A$5:$A$304,0))&amp;"","No está en el inventario"))</f>
        <v/>
      </c>
      <c r="D187" s="25" t="str">
        <f>IF($A187="","",IFERROR(INDEX('Inventario General'!$I$5:$I$304,MATCH($A187,'Inventario General'!$A$5:$A$304,0))&amp;"","No está en el inventario"))</f>
        <v/>
      </c>
      <c r="E187" s="26"/>
      <c r="F187" s="26"/>
      <c r="G187" s="26"/>
      <c r="H187" s="29"/>
      <c r="I187" s="29"/>
      <c r="J187" s="26"/>
      <c r="K187" s="26"/>
      <c r="L187" s="44"/>
      <c r="M187" s="26"/>
      <c r="N187" s="45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 x14ac:dyDescent="0.25">
      <c r="A188" s="26"/>
      <c r="B188" s="25" t="str">
        <f>IF($A188="","",IFERROR(INDEX('Inventario General'!$C$5:$C$304,MATCH($A188,'Inventario General'!$A$5:$A$304,0))&amp;"","No está en el inventario"))</f>
        <v/>
      </c>
      <c r="C188" s="25" t="str">
        <f>IF($A188="","",IFERROR(INDEX('Inventario General'!$D$5:$D$304,MATCH($A188,'Inventario General'!$A$5:$A$304,0))&amp;"","No está en el inventario"))</f>
        <v/>
      </c>
      <c r="D188" s="25" t="str">
        <f>IF($A188="","",IFERROR(INDEX('Inventario General'!$I$5:$I$304,MATCH($A188,'Inventario General'!$A$5:$A$304,0))&amp;"","No está en el inventario"))</f>
        <v/>
      </c>
      <c r="E188" s="26"/>
      <c r="F188" s="26"/>
      <c r="G188" s="26"/>
      <c r="H188" s="29"/>
      <c r="I188" s="29"/>
      <c r="J188" s="26"/>
      <c r="K188" s="26"/>
      <c r="L188" s="44"/>
      <c r="M188" s="26"/>
      <c r="N188" s="45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 x14ac:dyDescent="0.25">
      <c r="A189" s="26"/>
      <c r="B189" s="25" t="str">
        <f>IF($A189="","",IFERROR(INDEX('Inventario General'!$C$5:$C$304,MATCH($A189,'Inventario General'!$A$5:$A$304,0))&amp;"","No está en el inventario"))</f>
        <v/>
      </c>
      <c r="C189" s="25" t="str">
        <f>IF($A189="","",IFERROR(INDEX('Inventario General'!$D$5:$D$304,MATCH($A189,'Inventario General'!$A$5:$A$304,0))&amp;"","No está en el inventario"))</f>
        <v/>
      </c>
      <c r="D189" s="25" t="str">
        <f>IF($A189="","",IFERROR(INDEX('Inventario General'!$I$5:$I$304,MATCH($A189,'Inventario General'!$A$5:$A$304,0))&amp;"","No está en el inventario"))</f>
        <v/>
      </c>
      <c r="E189" s="26"/>
      <c r="F189" s="26"/>
      <c r="G189" s="26"/>
      <c r="H189" s="29"/>
      <c r="I189" s="29"/>
      <c r="J189" s="26"/>
      <c r="K189" s="26"/>
      <c r="L189" s="44"/>
      <c r="M189" s="26"/>
      <c r="N189" s="45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 x14ac:dyDescent="0.25">
      <c r="A190" s="26"/>
      <c r="B190" s="25" t="str">
        <f>IF($A190="","",IFERROR(INDEX('Inventario General'!$C$5:$C$304,MATCH($A190,'Inventario General'!$A$5:$A$304,0))&amp;"","No está en el inventario"))</f>
        <v/>
      </c>
      <c r="C190" s="25" t="str">
        <f>IF($A190="","",IFERROR(INDEX('Inventario General'!$D$5:$D$304,MATCH($A190,'Inventario General'!$A$5:$A$304,0))&amp;"","No está en el inventario"))</f>
        <v/>
      </c>
      <c r="D190" s="25" t="str">
        <f>IF($A190="","",IFERROR(INDEX('Inventario General'!$I$5:$I$304,MATCH($A190,'Inventario General'!$A$5:$A$304,0))&amp;"","No está en el inventario"))</f>
        <v/>
      </c>
      <c r="E190" s="26"/>
      <c r="F190" s="26"/>
      <c r="G190" s="26"/>
      <c r="H190" s="29"/>
      <c r="I190" s="29"/>
      <c r="J190" s="26"/>
      <c r="K190" s="26"/>
      <c r="L190" s="44"/>
      <c r="M190" s="26"/>
      <c r="N190" s="45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 x14ac:dyDescent="0.25">
      <c r="A191" s="26"/>
      <c r="B191" s="25" t="str">
        <f>IF($A191="","",IFERROR(INDEX('Inventario General'!$C$5:$C$304,MATCH($A191,'Inventario General'!$A$5:$A$304,0))&amp;"","No está en el inventario"))</f>
        <v/>
      </c>
      <c r="C191" s="25" t="str">
        <f>IF($A191="","",IFERROR(INDEX('Inventario General'!$D$5:$D$304,MATCH($A191,'Inventario General'!$A$5:$A$304,0))&amp;"","No está en el inventario"))</f>
        <v/>
      </c>
      <c r="D191" s="25" t="str">
        <f>IF($A191="","",IFERROR(INDEX('Inventario General'!$I$5:$I$304,MATCH($A191,'Inventario General'!$A$5:$A$304,0))&amp;"","No está en el inventario"))</f>
        <v/>
      </c>
      <c r="E191" s="26"/>
      <c r="F191" s="26"/>
      <c r="G191" s="26"/>
      <c r="H191" s="29"/>
      <c r="I191" s="29"/>
      <c r="J191" s="26"/>
      <c r="K191" s="26"/>
      <c r="L191" s="44"/>
      <c r="M191" s="26"/>
      <c r="N191" s="45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 x14ac:dyDescent="0.25">
      <c r="A192" s="26"/>
      <c r="B192" s="25" t="str">
        <f>IF($A192="","",IFERROR(INDEX('Inventario General'!$C$5:$C$304,MATCH($A192,'Inventario General'!$A$5:$A$304,0))&amp;"","No está en el inventario"))</f>
        <v/>
      </c>
      <c r="C192" s="25" t="str">
        <f>IF($A192="","",IFERROR(INDEX('Inventario General'!$D$5:$D$304,MATCH($A192,'Inventario General'!$A$5:$A$304,0))&amp;"","No está en el inventario"))</f>
        <v/>
      </c>
      <c r="D192" s="25" t="str">
        <f>IF($A192="","",IFERROR(INDEX('Inventario General'!$I$5:$I$304,MATCH($A192,'Inventario General'!$A$5:$A$304,0))&amp;"","No está en el inventario"))</f>
        <v/>
      </c>
      <c r="E192" s="26"/>
      <c r="F192" s="26"/>
      <c r="G192" s="26"/>
      <c r="H192" s="29"/>
      <c r="I192" s="29"/>
      <c r="J192" s="26"/>
      <c r="K192" s="26"/>
      <c r="L192" s="44"/>
      <c r="M192" s="26"/>
      <c r="N192" s="45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 x14ac:dyDescent="0.25">
      <c r="A193" s="26"/>
      <c r="B193" s="25" t="str">
        <f>IF($A193="","",IFERROR(INDEX('Inventario General'!$C$5:$C$304,MATCH($A193,'Inventario General'!$A$5:$A$304,0))&amp;"","No está en el inventario"))</f>
        <v/>
      </c>
      <c r="C193" s="25" t="str">
        <f>IF($A193="","",IFERROR(INDEX('Inventario General'!$D$5:$D$304,MATCH($A193,'Inventario General'!$A$5:$A$304,0))&amp;"","No está en el inventario"))</f>
        <v/>
      </c>
      <c r="D193" s="25" t="str">
        <f>IF($A193="","",IFERROR(INDEX('Inventario General'!$I$5:$I$304,MATCH($A193,'Inventario General'!$A$5:$A$304,0))&amp;"","No está en el inventario"))</f>
        <v/>
      </c>
      <c r="E193" s="26"/>
      <c r="F193" s="26"/>
      <c r="G193" s="26"/>
      <c r="H193" s="29"/>
      <c r="I193" s="29"/>
      <c r="J193" s="26"/>
      <c r="K193" s="26"/>
      <c r="L193" s="44"/>
      <c r="M193" s="26"/>
      <c r="N193" s="45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 x14ac:dyDescent="0.25">
      <c r="A194" s="26"/>
      <c r="B194" s="25" t="str">
        <f>IF($A194="","",IFERROR(INDEX('Inventario General'!$C$5:$C$304,MATCH($A194,'Inventario General'!$A$5:$A$304,0))&amp;"","No está en el inventario"))</f>
        <v/>
      </c>
      <c r="C194" s="25" t="str">
        <f>IF($A194="","",IFERROR(INDEX('Inventario General'!$D$5:$D$304,MATCH($A194,'Inventario General'!$A$5:$A$304,0))&amp;"","No está en el inventario"))</f>
        <v/>
      </c>
      <c r="D194" s="25" t="str">
        <f>IF($A194="","",IFERROR(INDEX('Inventario General'!$I$5:$I$304,MATCH($A194,'Inventario General'!$A$5:$A$304,0))&amp;"","No está en el inventario"))</f>
        <v/>
      </c>
      <c r="E194" s="26"/>
      <c r="F194" s="26"/>
      <c r="G194" s="26"/>
      <c r="H194" s="29"/>
      <c r="I194" s="29"/>
      <c r="J194" s="26"/>
      <c r="K194" s="26"/>
      <c r="L194" s="44"/>
      <c r="M194" s="26"/>
      <c r="N194" s="45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 x14ac:dyDescent="0.25">
      <c r="A195" s="26"/>
      <c r="B195" s="25" t="str">
        <f>IF($A195="","",IFERROR(INDEX('Inventario General'!$C$5:$C$304,MATCH($A195,'Inventario General'!$A$5:$A$304,0))&amp;"","No está en el inventario"))</f>
        <v/>
      </c>
      <c r="C195" s="25" t="str">
        <f>IF($A195="","",IFERROR(INDEX('Inventario General'!$D$5:$D$304,MATCH($A195,'Inventario General'!$A$5:$A$304,0))&amp;"","No está en el inventario"))</f>
        <v/>
      </c>
      <c r="D195" s="25" t="str">
        <f>IF($A195="","",IFERROR(INDEX('Inventario General'!$I$5:$I$304,MATCH($A195,'Inventario General'!$A$5:$A$304,0))&amp;"","No está en el inventario"))</f>
        <v/>
      </c>
      <c r="E195" s="26"/>
      <c r="F195" s="26"/>
      <c r="G195" s="26"/>
      <c r="H195" s="29"/>
      <c r="I195" s="29"/>
      <c r="J195" s="26"/>
      <c r="K195" s="26"/>
      <c r="L195" s="44"/>
      <c r="M195" s="26"/>
      <c r="N195" s="45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 x14ac:dyDescent="0.25">
      <c r="A196" s="26"/>
      <c r="B196" s="25" t="str">
        <f>IF($A196="","",IFERROR(INDEX('Inventario General'!$C$5:$C$304,MATCH($A196,'Inventario General'!$A$5:$A$304,0))&amp;"","No está en el inventario"))</f>
        <v/>
      </c>
      <c r="C196" s="25" t="str">
        <f>IF($A196="","",IFERROR(INDEX('Inventario General'!$D$5:$D$304,MATCH($A196,'Inventario General'!$A$5:$A$304,0))&amp;"","No está en el inventario"))</f>
        <v/>
      </c>
      <c r="D196" s="25" t="str">
        <f>IF($A196="","",IFERROR(INDEX('Inventario General'!$I$5:$I$304,MATCH($A196,'Inventario General'!$A$5:$A$304,0))&amp;"","No está en el inventario"))</f>
        <v/>
      </c>
      <c r="E196" s="26"/>
      <c r="F196" s="26"/>
      <c r="G196" s="26"/>
      <c r="H196" s="29"/>
      <c r="I196" s="29"/>
      <c r="J196" s="26"/>
      <c r="K196" s="26"/>
      <c r="L196" s="44"/>
      <c r="M196" s="26"/>
      <c r="N196" s="45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 x14ac:dyDescent="0.25">
      <c r="A197" s="26"/>
      <c r="B197" s="25" t="str">
        <f>IF($A197="","",IFERROR(INDEX('Inventario General'!$C$5:$C$304,MATCH($A197,'Inventario General'!$A$5:$A$304,0))&amp;"","No está en el inventario"))</f>
        <v/>
      </c>
      <c r="C197" s="25" t="str">
        <f>IF($A197="","",IFERROR(INDEX('Inventario General'!$D$5:$D$304,MATCH($A197,'Inventario General'!$A$5:$A$304,0))&amp;"","No está en el inventario"))</f>
        <v/>
      </c>
      <c r="D197" s="25" t="str">
        <f>IF($A197="","",IFERROR(INDEX('Inventario General'!$I$5:$I$304,MATCH($A197,'Inventario General'!$A$5:$A$304,0))&amp;"","No está en el inventario"))</f>
        <v/>
      </c>
      <c r="E197" s="26"/>
      <c r="F197" s="26"/>
      <c r="G197" s="26"/>
      <c r="H197" s="29"/>
      <c r="I197" s="29"/>
      <c r="J197" s="26"/>
      <c r="K197" s="26"/>
      <c r="L197" s="44"/>
      <c r="M197" s="26"/>
      <c r="N197" s="45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 x14ac:dyDescent="0.25">
      <c r="A198" s="26"/>
      <c r="B198" s="25" t="str">
        <f>IF($A198="","",IFERROR(INDEX('Inventario General'!$C$5:$C$304,MATCH($A198,'Inventario General'!$A$5:$A$304,0))&amp;"","No está en el inventario"))</f>
        <v/>
      </c>
      <c r="C198" s="25" t="str">
        <f>IF($A198="","",IFERROR(INDEX('Inventario General'!$D$5:$D$304,MATCH($A198,'Inventario General'!$A$5:$A$304,0))&amp;"","No está en el inventario"))</f>
        <v/>
      </c>
      <c r="D198" s="25" t="str">
        <f>IF($A198="","",IFERROR(INDEX('Inventario General'!$I$5:$I$304,MATCH($A198,'Inventario General'!$A$5:$A$304,0))&amp;"","No está en el inventario"))</f>
        <v/>
      </c>
      <c r="E198" s="26"/>
      <c r="F198" s="26"/>
      <c r="G198" s="26"/>
      <c r="H198" s="29"/>
      <c r="I198" s="29"/>
      <c r="J198" s="26"/>
      <c r="K198" s="26"/>
      <c r="L198" s="44"/>
      <c r="M198" s="26"/>
      <c r="N198" s="45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 x14ac:dyDescent="0.25">
      <c r="A199" s="26"/>
      <c r="B199" s="25" t="str">
        <f>IF($A199="","",IFERROR(INDEX('Inventario General'!$C$5:$C$304,MATCH($A199,'Inventario General'!$A$5:$A$304,0))&amp;"","No está en el inventario"))</f>
        <v/>
      </c>
      <c r="C199" s="25" t="str">
        <f>IF($A199="","",IFERROR(INDEX('Inventario General'!$D$5:$D$304,MATCH($A199,'Inventario General'!$A$5:$A$304,0))&amp;"","No está en el inventario"))</f>
        <v/>
      </c>
      <c r="D199" s="25" t="str">
        <f>IF($A199="","",IFERROR(INDEX('Inventario General'!$I$5:$I$304,MATCH($A199,'Inventario General'!$A$5:$A$304,0))&amp;"","No está en el inventario"))</f>
        <v/>
      </c>
      <c r="E199" s="26"/>
      <c r="F199" s="26"/>
      <c r="G199" s="26"/>
      <c r="H199" s="29"/>
      <c r="I199" s="29"/>
      <c r="J199" s="26"/>
      <c r="K199" s="26"/>
      <c r="L199" s="44"/>
      <c r="M199" s="26"/>
      <c r="N199" s="45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 x14ac:dyDescent="0.25">
      <c r="A200" s="26"/>
      <c r="B200" s="25" t="str">
        <f>IF($A200="","",IFERROR(INDEX('Inventario General'!$C$5:$C$304,MATCH($A200,'Inventario General'!$A$5:$A$304,0))&amp;"","No está en el inventario"))</f>
        <v/>
      </c>
      <c r="C200" s="25" t="str">
        <f>IF($A200="","",IFERROR(INDEX('Inventario General'!$D$5:$D$304,MATCH($A200,'Inventario General'!$A$5:$A$304,0))&amp;"","No está en el inventario"))</f>
        <v/>
      </c>
      <c r="D200" s="25" t="str">
        <f>IF($A200="","",IFERROR(INDEX('Inventario General'!$I$5:$I$304,MATCH($A200,'Inventario General'!$A$5:$A$304,0))&amp;"","No está en el inventario"))</f>
        <v/>
      </c>
      <c r="E200" s="26"/>
      <c r="F200" s="26"/>
      <c r="G200" s="26"/>
      <c r="H200" s="29"/>
      <c r="I200" s="29"/>
      <c r="J200" s="26"/>
      <c r="K200" s="26"/>
      <c r="L200" s="44"/>
      <c r="M200" s="26"/>
      <c r="N200" s="45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 x14ac:dyDescent="0.25">
      <c r="A201" s="26"/>
      <c r="B201" s="25" t="str">
        <f>IF($A201="","",IFERROR(INDEX('Inventario General'!$C$5:$C$304,MATCH($A201,'Inventario General'!$A$5:$A$304,0))&amp;"","No está en el inventario"))</f>
        <v/>
      </c>
      <c r="C201" s="25" t="str">
        <f>IF($A201="","",IFERROR(INDEX('Inventario General'!$D$5:$D$304,MATCH($A201,'Inventario General'!$A$5:$A$304,0))&amp;"","No está en el inventario"))</f>
        <v/>
      </c>
      <c r="D201" s="25" t="str">
        <f>IF($A201="","",IFERROR(INDEX('Inventario General'!$I$5:$I$304,MATCH($A201,'Inventario General'!$A$5:$A$304,0))&amp;"","No está en el inventario"))</f>
        <v/>
      </c>
      <c r="E201" s="26"/>
      <c r="F201" s="26"/>
      <c r="G201" s="26"/>
      <c r="H201" s="29"/>
      <c r="I201" s="29"/>
      <c r="J201" s="26"/>
      <c r="K201" s="26"/>
      <c r="L201" s="44"/>
      <c r="M201" s="26"/>
      <c r="N201" s="45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 x14ac:dyDescent="0.25">
      <c r="A202" s="26"/>
      <c r="B202" s="25" t="str">
        <f>IF($A202="","",IFERROR(INDEX('Inventario General'!$C$5:$C$304,MATCH($A202,'Inventario General'!$A$5:$A$304,0))&amp;"","No está en el inventario"))</f>
        <v/>
      </c>
      <c r="C202" s="25" t="str">
        <f>IF($A202="","",IFERROR(INDEX('Inventario General'!$D$5:$D$304,MATCH($A202,'Inventario General'!$A$5:$A$304,0))&amp;"","No está en el inventario"))</f>
        <v/>
      </c>
      <c r="D202" s="25" t="str">
        <f>IF($A202="","",IFERROR(INDEX('Inventario General'!$I$5:$I$304,MATCH($A202,'Inventario General'!$A$5:$A$304,0))&amp;"","No está en el inventario"))</f>
        <v/>
      </c>
      <c r="E202" s="26"/>
      <c r="F202" s="26"/>
      <c r="G202" s="26"/>
      <c r="H202" s="29"/>
      <c r="I202" s="29"/>
      <c r="J202" s="26"/>
      <c r="K202" s="26"/>
      <c r="L202" s="44"/>
      <c r="M202" s="26"/>
      <c r="N202" s="45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 x14ac:dyDescent="0.25">
      <c r="A203" s="26"/>
      <c r="B203" s="25" t="str">
        <f>IF($A203="","",IFERROR(INDEX('Inventario General'!$C$5:$C$304,MATCH($A203,'Inventario General'!$A$5:$A$304,0))&amp;"","No está en el inventario"))</f>
        <v/>
      </c>
      <c r="C203" s="25" t="str">
        <f>IF($A203="","",IFERROR(INDEX('Inventario General'!$D$5:$D$304,MATCH($A203,'Inventario General'!$A$5:$A$304,0))&amp;"","No está en el inventario"))</f>
        <v/>
      </c>
      <c r="D203" s="25" t="str">
        <f>IF($A203="","",IFERROR(INDEX('Inventario General'!$I$5:$I$304,MATCH($A203,'Inventario General'!$A$5:$A$304,0))&amp;"","No está en el inventario"))</f>
        <v/>
      </c>
      <c r="E203" s="26"/>
      <c r="F203" s="26"/>
      <c r="G203" s="26"/>
      <c r="H203" s="29"/>
      <c r="I203" s="29"/>
      <c r="J203" s="26"/>
      <c r="K203" s="26"/>
      <c r="L203" s="44"/>
      <c r="M203" s="26"/>
      <c r="N203" s="45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 x14ac:dyDescent="0.25">
      <c r="A204" s="26"/>
      <c r="B204" s="25" t="str">
        <f>IF($A204="","",IFERROR(INDEX('Inventario General'!$C$5:$C$304,MATCH($A204,'Inventario General'!$A$5:$A$304,0))&amp;"","No está en el inventario"))</f>
        <v/>
      </c>
      <c r="C204" s="25" t="str">
        <f>IF($A204="","",IFERROR(INDEX('Inventario General'!$D$5:$D$304,MATCH($A204,'Inventario General'!$A$5:$A$304,0))&amp;"","No está en el inventario"))</f>
        <v/>
      </c>
      <c r="D204" s="25" t="str">
        <f>IF($A204="","",IFERROR(INDEX('Inventario General'!$I$5:$I$304,MATCH($A204,'Inventario General'!$A$5:$A$304,0))&amp;"","No está en el inventario"))</f>
        <v/>
      </c>
      <c r="E204" s="26"/>
      <c r="F204" s="26"/>
      <c r="G204" s="26"/>
      <c r="H204" s="29"/>
      <c r="I204" s="29"/>
      <c r="J204" s="26"/>
      <c r="K204" s="26"/>
      <c r="L204" s="44"/>
      <c r="M204" s="26"/>
      <c r="N204" s="45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</sheetData>
  <autoFilter ref="A4:Y204" xr:uid="{00000000-0009-0000-0000-000004000000}"/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Código no encontrado" error="El código debe existir primero en la hoja 'Inventario General'." xr:uid="{00000000-0002-0000-0400-000000000000}">
          <x14:formula1>
            <xm:f>'Inventario General'!$A$5:$A$304</xm:f>
          </x14:formula1>
          <x14:formula2>
            <xm:f>0</xm:f>
          </x14:formula2>
          <xm:sqref>A5:A204</xm:sqref>
        </x14:dataValidation>
        <x14:dataValidation type="list" allowBlank="1" showErrorMessage="1" errorTitle="Valor no válido" error="Elija un valor de la lista. Las listas se editan en la hoja 'Listas'." xr:uid="{00000000-0002-0000-0400-000001000000}">
          <x14:formula1>
            <xm:f>OFFSET(Listas!$L$2,0,0,MAX(1,COUNTA(Listas!$L$2:$L$60)),1)</xm:f>
          </x14:formula1>
          <x14:formula2>
            <xm:f>0</xm:f>
          </x14:formula2>
          <xm:sqref>E5:E204</xm:sqref>
        </x14:dataValidation>
        <x14:dataValidation type="list" allowBlank="1" showErrorMessage="1" errorTitle="Valor no válido" error="Elija un valor de la lista. Las listas se editan en la hoja 'Listas'." xr:uid="{00000000-0002-0000-0400-000002000000}">
          <x14:formula1>
            <xm:f>OFFSET(Listas!$M$2,0,0,MAX(1,COUNTA(Listas!$M$2:$M$60)),1)</xm:f>
          </x14:formula1>
          <x14:formula2>
            <xm:f>0</xm:f>
          </x14:formula2>
          <xm:sqref>K5:K204</xm:sqref>
        </x14:dataValidation>
        <x14:dataValidation type="list" allowBlank="1" showErrorMessage="1" errorTitle="Valor no válido" error="Elija un valor de la lista. Las listas se editan en la hoja 'Listas'." xr:uid="{00000000-0002-0000-0400-000003000000}">
          <x14:formula1>
            <xm:f>OFFSET(Listas!$K$2,0,0,MAX(1,COUNTA(Listas!$K$2:$K$60)),1)</xm:f>
          </x14:formula1>
          <x14:formula2>
            <xm:f>0</xm:f>
          </x14:formula2>
          <xm:sqref>O5:O204</xm:sqref>
        </x14:dataValidation>
        <x14:dataValidation type="list" allowBlank="1" showErrorMessage="1" errorTitle="Valor no válido" error="Elija un valor de la lista. Las listas se editan en la hoja 'Listas'." xr:uid="{00000000-0002-0000-0400-000004000000}">
          <x14:formula1>
            <xm:f>OFFSET(Listas!$G$2,0,0,MAX(1,COUNTA(Listas!$G$2:$G$60)),1)</xm:f>
          </x14:formula1>
          <x14:formula2>
            <xm:f>0</xm:f>
          </x14:formula2>
          <xm:sqref>V5:V204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  <pageSetUpPr fitToPage="1"/>
  </sheetPr>
  <dimension ref="A1:X20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5" sqref="E5"/>
    </sheetView>
  </sheetViews>
  <sheetFormatPr baseColWidth="10" defaultColWidth="8.7109375" defaultRowHeight="15" x14ac:dyDescent="0.25"/>
  <cols>
    <col min="1" max="1" width="18" customWidth="1"/>
    <col min="2" max="2" width="14" customWidth="1"/>
    <col min="3" max="4" width="22" customWidth="1"/>
    <col min="5" max="5" width="12" customWidth="1"/>
    <col min="6" max="6" width="20" customWidth="1"/>
    <col min="7" max="7" width="26" customWidth="1"/>
    <col min="8" max="8" width="11" customWidth="1"/>
    <col min="9" max="9" width="10" customWidth="1"/>
    <col min="10" max="10" width="11" customWidth="1"/>
    <col min="11" max="11" width="13" customWidth="1"/>
    <col min="12" max="12" width="14" customWidth="1"/>
    <col min="13" max="13" width="11" customWidth="1"/>
    <col min="14" max="14" width="20" customWidth="1"/>
    <col min="15" max="15" width="18" customWidth="1"/>
    <col min="16" max="16" width="15" customWidth="1"/>
    <col min="17" max="17" width="18" customWidth="1"/>
    <col min="18" max="18" width="11" customWidth="1"/>
    <col min="19" max="19" width="14" customWidth="1"/>
    <col min="20" max="20" width="10" customWidth="1"/>
    <col min="21" max="21" width="15" customWidth="1"/>
    <col min="22" max="22" width="14" customWidth="1"/>
    <col min="23" max="23" width="13" customWidth="1"/>
    <col min="24" max="24" width="30" customWidth="1"/>
  </cols>
  <sheetData>
    <row r="1" spans="1:24" ht="18" x14ac:dyDescent="0.25">
      <c r="A1" s="18" t="s">
        <v>206</v>
      </c>
    </row>
    <row r="2" spans="1:24" x14ac:dyDescent="0.25">
      <c r="A2" s="11" t="s">
        <v>207</v>
      </c>
    </row>
    <row r="4" spans="1:24" ht="48" customHeight="1" x14ac:dyDescent="0.25">
      <c r="A4" s="12" t="s">
        <v>175</v>
      </c>
      <c r="B4" s="19" t="s">
        <v>79</v>
      </c>
      <c r="C4" s="19" t="s">
        <v>80</v>
      </c>
      <c r="D4" s="19" t="s">
        <v>176</v>
      </c>
      <c r="E4" s="12" t="s">
        <v>208</v>
      </c>
      <c r="F4" s="12" t="s">
        <v>209</v>
      </c>
      <c r="G4" s="12" t="s">
        <v>156</v>
      </c>
      <c r="H4" s="12" t="s">
        <v>210</v>
      </c>
      <c r="I4" s="12" t="s">
        <v>211</v>
      </c>
      <c r="J4" s="12" t="s">
        <v>157</v>
      </c>
      <c r="K4" s="12" t="s">
        <v>212</v>
      </c>
      <c r="L4" s="12" t="s">
        <v>213</v>
      </c>
      <c r="M4" s="12" t="s">
        <v>214</v>
      </c>
      <c r="N4" s="12" t="s">
        <v>160</v>
      </c>
      <c r="O4" s="12" t="s">
        <v>185</v>
      </c>
      <c r="P4" s="12" t="s">
        <v>162</v>
      </c>
      <c r="Q4" s="12" t="s">
        <v>215</v>
      </c>
      <c r="R4" s="12" t="s">
        <v>216</v>
      </c>
      <c r="S4" s="12" t="s">
        <v>217</v>
      </c>
      <c r="T4" s="12" t="s">
        <v>218</v>
      </c>
      <c r="U4" s="12" t="s">
        <v>219</v>
      </c>
      <c r="V4" s="12" t="s">
        <v>220</v>
      </c>
      <c r="W4" s="12" t="s">
        <v>221</v>
      </c>
      <c r="X4" s="12" t="s">
        <v>100</v>
      </c>
    </row>
    <row r="5" spans="1:24" x14ac:dyDescent="0.25">
      <c r="A5" s="20" t="s">
        <v>117</v>
      </c>
      <c r="B5" s="25" t="str">
        <f>IF($A5="","",IFERROR(INDEX('Inventario General'!$C$5:$C$304,MATCH($A5,'Inventario General'!$A$5:$A$304,0))&amp;"","No está en el inventario"))</f>
        <v>HPE</v>
      </c>
      <c r="C5" s="25" t="str">
        <f>IF($A5="","",IFERROR(INDEX('Inventario General'!$D$5:$D$304,MATCH($A5,'Inventario General'!$A$5:$A$304,0))&amp;"","No está en el inventario"))</f>
        <v>ProLiant DL380 Gen11</v>
      </c>
      <c r="D5" s="25" t="str">
        <f>IF($A5="","",IFERROR(INDEX('Inventario General'!$I$5:$I$304,MATCH($A5,'Inventario General'!$A$5:$A$304,0))&amp;"","No está en el inventario"))</f>
        <v>Equipo de TI</v>
      </c>
      <c r="E5" s="20" t="s">
        <v>222</v>
      </c>
      <c r="F5" s="20" t="s">
        <v>223</v>
      </c>
      <c r="G5" s="20" t="s">
        <v>224</v>
      </c>
      <c r="H5" s="23">
        <v>1</v>
      </c>
      <c r="I5" s="23">
        <v>12</v>
      </c>
      <c r="J5" s="42">
        <v>64</v>
      </c>
      <c r="K5" s="46">
        <v>8</v>
      </c>
      <c r="L5" s="20" t="s">
        <v>225</v>
      </c>
      <c r="M5" s="23">
        <v>2</v>
      </c>
      <c r="N5" s="20" t="s">
        <v>226</v>
      </c>
      <c r="O5" s="20" t="s">
        <v>227</v>
      </c>
      <c r="P5" s="20" t="s">
        <v>228</v>
      </c>
      <c r="Q5" s="20" t="s">
        <v>229</v>
      </c>
      <c r="R5" s="23">
        <v>3</v>
      </c>
      <c r="S5" s="20" t="s">
        <v>230</v>
      </c>
      <c r="T5" s="42">
        <v>800</v>
      </c>
      <c r="U5" s="20" t="s">
        <v>231</v>
      </c>
      <c r="V5" s="20" t="s">
        <v>232</v>
      </c>
      <c r="W5" s="21">
        <v>46295</v>
      </c>
      <c r="X5" s="20" t="s">
        <v>129</v>
      </c>
    </row>
    <row r="6" spans="1:24" x14ac:dyDescent="0.25">
      <c r="A6" s="26"/>
      <c r="B6" s="25" t="str">
        <f>IF($A6="","",IFERROR(INDEX('Inventario General'!$C$5:$C$304,MATCH($A6,'Inventario General'!$A$5:$A$304,0))&amp;"","No está en el inventario"))</f>
        <v/>
      </c>
      <c r="C6" s="25" t="str">
        <f>IF($A6="","",IFERROR(INDEX('Inventario General'!$D$5:$D$304,MATCH($A6,'Inventario General'!$A$5:$A$304,0))&amp;"","No está en el inventario"))</f>
        <v/>
      </c>
      <c r="D6" s="25" t="str">
        <f>IF($A6="","",IFERROR(INDEX('Inventario General'!$I$5:$I$304,MATCH($A6,'Inventario General'!$A$5:$A$304,0))&amp;"","No está en el inventario"))</f>
        <v/>
      </c>
      <c r="E6" s="26"/>
      <c r="F6" s="26"/>
      <c r="G6" s="26"/>
      <c r="H6" s="29"/>
      <c r="I6" s="29"/>
      <c r="J6" s="44"/>
      <c r="K6" s="47"/>
      <c r="L6" s="26"/>
      <c r="M6" s="29"/>
      <c r="N6" s="26"/>
      <c r="O6" s="26"/>
      <c r="P6" s="26"/>
      <c r="Q6" s="26"/>
      <c r="R6" s="29"/>
      <c r="S6" s="26"/>
      <c r="T6" s="44"/>
      <c r="U6" s="26"/>
      <c r="V6" s="26"/>
      <c r="W6" s="27"/>
      <c r="X6" s="26"/>
    </row>
    <row r="7" spans="1:24" x14ac:dyDescent="0.25">
      <c r="A7" s="26"/>
      <c r="B7" s="25" t="str">
        <f>IF($A7="","",IFERROR(INDEX('Inventario General'!$C$5:$C$304,MATCH($A7,'Inventario General'!$A$5:$A$304,0))&amp;"","No está en el inventario"))</f>
        <v/>
      </c>
      <c r="C7" s="25" t="str">
        <f>IF($A7="","",IFERROR(INDEX('Inventario General'!$D$5:$D$304,MATCH($A7,'Inventario General'!$A$5:$A$304,0))&amp;"","No está en el inventario"))</f>
        <v/>
      </c>
      <c r="D7" s="25" t="str">
        <f>IF($A7="","",IFERROR(INDEX('Inventario General'!$I$5:$I$304,MATCH($A7,'Inventario General'!$A$5:$A$304,0))&amp;"","No está en el inventario"))</f>
        <v/>
      </c>
      <c r="E7" s="26"/>
      <c r="F7" s="26"/>
      <c r="G7" s="26"/>
      <c r="H7" s="29"/>
      <c r="I7" s="29"/>
      <c r="J7" s="44"/>
      <c r="K7" s="47"/>
      <c r="L7" s="26"/>
      <c r="M7" s="29"/>
      <c r="N7" s="26"/>
      <c r="O7" s="26"/>
      <c r="P7" s="26"/>
      <c r="Q7" s="26"/>
      <c r="R7" s="29"/>
      <c r="S7" s="26"/>
      <c r="T7" s="44"/>
      <c r="U7" s="26"/>
      <c r="V7" s="26"/>
      <c r="W7" s="27"/>
      <c r="X7" s="26"/>
    </row>
    <row r="8" spans="1:24" x14ac:dyDescent="0.25">
      <c r="A8" s="26"/>
      <c r="B8" s="25" t="str">
        <f>IF($A8="","",IFERROR(INDEX('Inventario General'!$C$5:$C$304,MATCH($A8,'Inventario General'!$A$5:$A$304,0))&amp;"","No está en el inventario"))</f>
        <v/>
      </c>
      <c r="C8" s="25" t="str">
        <f>IF($A8="","",IFERROR(INDEX('Inventario General'!$D$5:$D$304,MATCH($A8,'Inventario General'!$A$5:$A$304,0))&amp;"","No está en el inventario"))</f>
        <v/>
      </c>
      <c r="D8" s="25" t="str">
        <f>IF($A8="","",IFERROR(INDEX('Inventario General'!$I$5:$I$304,MATCH($A8,'Inventario General'!$A$5:$A$304,0))&amp;"","No está en el inventario"))</f>
        <v/>
      </c>
      <c r="E8" s="26"/>
      <c r="F8" s="26"/>
      <c r="G8" s="26"/>
      <c r="H8" s="29"/>
      <c r="I8" s="29"/>
      <c r="J8" s="44"/>
      <c r="K8" s="47"/>
      <c r="L8" s="26"/>
      <c r="M8" s="29"/>
      <c r="N8" s="26"/>
      <c r="O8" s="26"/>
      <c r="P8" s="26"/>
      <c r="Q8" s="26"/>
      <c r="R8" s="29"/>
      <c r="S8" s="26"/>
      <c r="T8" s="44"/>
      <c r="U8" s="26"/>
      <c r="V8" s="26"/>
      <c r="W8" s="27"/>
      <c r="X8" s="26"/>
    </row>
    <row r="9" spans="1:24" x14ac:dyDescent="0.25">
      <c r="A9" s="26"/>
      <c r="B9" s="25" t="str">
        <f>IF($A9="","",IFERROR(INDEX('Inventario General'!$C$5:$C$304,MATCH($A9,'Inventario General'!$A$5:$A$304,0))&amp;"","No está en el inventario"))</f>
        <v/>
      </c>
      <c r="C9" s="25" t="str">
        <f>IF($A9="","",IFERROR(INDEX('Inventario General'!$D$5:$D$304,MATCH($A9,'Inventario General'!$A$5:$A$304,0))&amp;"","No está en el inventario"))</f>
        <v/>
      </c>
      <c r="D9" s="25" t="str">
        <f>IF($A9="","",IFERROR(INDEX('Inventario General'!$I$5:$I$304,MATCH($A9,'Inventario General'!$A$5:$A$304,0))&amp;"","No está en el inventario"))</f>
        <v/>
      </c>
      <c r="E9" s="26"/>
      <c r="F9" s="26"/>
      <c r="G9" s="26"/>
      <c r="H9" s="29"/>
      <c r="I9" s="29"/>
      <c r="J9" s="44"/>
      <c r="K9" s="47"/>
      <c r="L9" s="26"/>
      <c r="M9" s="29"/>
      <c r="N9" s="26"/>
      <c r="O9" s="26"/>
      <c r="P9" s="26"/>
      <c r="Q9" s="26"/>
      <c r="R9" s="29"/>
      <c r="S9" s="26"/>
      <c r="T9" s="44"/>
      <c r="U9" s="26"/>
      <c r="V9" s="26"/>
      <c r="W9" s="27"/>
      <c r="X9" s="26"/>
    </row>
    <row r="10" spans="1:24" x14ac:dyDescent="0.25">
      <c r="A10" s="26"/>
      <c r="B10" s="25" t="str">
        <f>IF($A10="","",IFERROR(INDEX('Inventario General'!$C$5:$C$304,MATCH($A10,'Inventario General'!$A$5:$A$304,0))&amp;"","No está en el inventario"))</f>
        <v/>
      </c>
      <c r="C10" s="25" t="str">
        <f>IF($A10="","",IFERROR(INDEX('Inventario General'!$D$5:$D$304,MATCH($A10,'Inventario General'!$A$5:$A$304,0))&amp;"","No está en el inventario"))</f>
        <v/>
      </c>
      <c r="D10" s="25" t="str">
        <f>IF($A10="","",IFERROR(INDEX('Inventario General'!$I$5:$I$304,MATCH($A10,'Inventario General'!$A$5:$A$304,0))&amp;"","No está en el inventario"))</f>
        <v/>
      </c>
      <c r="E10" s="26"/>
      <c r="F10" s="26"/>
      <c r="G10" s="26"/>
      <c r="H10" s="29"/>
      <c r="I10" s="29"/>
      <c r="J10" s="44"/>
      <c r="K10" s="47"/>
      <c r="L10" s="26"/>
      <c r="M10" s="29"/>
      <c r="N10" s="26"/>
      <c r="O10" s="26"/>
      <c r="P10" s="26"/>
      <c r="Q10" s="26"/>
      <c r="R10" s="29"/>
      <c r="S10" s="26"/>
      <c r="T10" s="44"/>
      <c r="U10" s="26"/>
      <c r="V10" s="26"/>
      <c r="W10" s="27"/>
      <c r="X10" s="26"/>
    </row>
    <row r="11" spans="1:24" x14ac:dyDescent="0.25">
      <c r="A11" s="26"/>
      <c r="B11" s="25" t="str">
        <f>IF($A11="","",IFERROR(INDEX('Inventario General'!$C$5:$C$304,MATCH($A11,'Inventario General'!$A$5:$A$304,0))&amp;"","No está en el inventario"))</f>
        <v/>
      </c>
      <c r="C11" s="25" t="str">
        <f>IF($A11="","",IFERROR(INDEX('Inventario General'!$D$5:$D$304,MATCH($A11,'Inventario General'!$A$5:$A$304,0))&amp;"","No está en el inventario"))</f>
        <v/>
      </c>
      <c r="D11" s="25" t="str">
        <f>IF($A11="","",IFERROR(INDEX('Inventario General'!$I$5:$I$304,MATCH($A11,'Inventario General'!$A$5:$A$304,0))&amp;"","No está en el inventario"))</f>
        <v/>
      </c>
      <c r="E11" s="26"/>
      <c r="F11" s="26"/>
      <c r="G11" s="26"/>
      <c r="H11" s="29"/>
      <c r="I11" s="29"/>
      <c r="J11" s="44"/>
      <c r="K11" s="47"/>
      <c r="L11" s="26"/>
      <c r="M11" s="29"/>
      <c r="N11" s="26"/>
      <c r="O11" s="26"/>
      <c r="P11" s="26"/>
      <c r="Q11" s="26"/>
      <c r="R11" s="29"/>
      <c r="S11" s="26"/>
      <c r="T11" s="44"/>
      <c r="U11" s="26"/>
      <c r="V11" s="26"/>
      <c r="W11" s="27"/>
      <c r="X11" s="26"/>
    </row>
    <row r="12" spans="1:24" x14ac:dyDescent="0.25">
      <c r="A12" s="26"/>
      <c r="B12" s="25" t="str">
        <f>IF($A12="","",IFERROR(INDEX('Inventario General'!$C$5:$C$304,MATCH($A12,'Inventario General'!$A$5:$A$304,0))&amp;"","No está en el inventario"))</f>
        <v/>
      </c>
      <c r="C12" s="25" t="str">
        <f>IF($A12="","",IFERROR(INDEX('Inventario General'!$D$5:$D$304,MATCH($A12,'Inventario General'!$A$5:$A$304,0))&amp;"","No está en el inventario"))</f>
        <v/>
      </c>
      <c r="D12" s="25" t="str">
        <f>IF($A12="","",IFERROR(INDEX('Inventario General'!$I$5:$I$304,MATCH($A12,'Inventario General'!$A$5:$A$304,0))&amp;"","No está en el inventario"))</f>
        <v/>
      </c>
      <c r="E12" s="26"/>
      <c r="F12" s="26"/>
      <c r="G12" s="26"/>
      <c r="H12" s="29"/>
      <c r="I12" s="29"/>
      <c r="J12" s="44"/>
      <c r="K12" s="47"/>
      <c r="L12" s="26"/>
      <c r="M12" s="29"/>
      <c r="N12" s="26"/>
      <c r="O12" s="26"/>
      <c r="P12" s="26"/>
      <c r="Q12" s="26"/>
      <c r="R12" s="29"/>
      <c r="S12" s="26"/>
      <c r="T12" s="44"/>
      <c r="U12" s="26"/>
      <c r="V12" s="26"/>
      <c r="W12" s="27"/>
      <c r="X12" s="26"/>
    </row>
    <row r="13" spans="1:24" x14ac:dyDescent="0.25">
      <c r="A13" s="26"/>
      <c r="B13" s="25" t="str">
        <f>IF($A13="","",IFERROR(INDEX('Inventario General'!$C$5:$C$304,MATCH($A13,'Inventario General'!$A$5:$A$304,0))&amp;"","No está en el inventario"))</f>
        <v/>
      </c>
      <c r="C13" s="25" t="str">
        <f>IF($A13="","",IFERROR(INDEX('Inventario General'!$D$5:$D$304,MATCH($A13,'Inventario General'!$A$5:$A$304,0))&amp;"","No está en el inventario"))</f>
        <v/>
      </c>
      <c r="D13" s="25" t="str">
        <f>IF($A13="","",IFERROR(INDEX('Inventario General'!$I$5:$I$304,MATCH($A13,'Inventario General'!$A$5:$A$304,0))&amp;"","No está en el inventario"))</f>
        <v/>
      </c>
      <c r="E13" s="26"/>
      <c r="F13" s="26"/>
      <c r="G13" s="26"/>
      <c r="H13" s="29"/>
      <c r="I13" s="29"/>
      <c r="J13" s="44"/>
      <c r="K13" s="47"/>
      <c r="L13" s="26"/>
      <c r="M13" s="29"/>
      <c r="N13" s="26"/>
      <c r="O13" s="26"/>
      <c r="P13" s="26"/>
      <c r="Q13" s="26"/>
      <c r="R13" s="29"/>
      <c r="S13" s="26"/>
      <c r="T13" s="44"/>
      <c r="U13" s="26"/>
      <c r="V13" s="26"/>
      <c r="W13" s="27"/>
      <c r="X13" s="26"/>
    </row>
    <row r="14" spans="1:24" x14ac:dyDescent="0.25">
      <c r="A14" s="26"/>
      <c r="B14" s="25" t="str">
        <f>IF($A14="","",IFERROR(INDEX('Inventario General'!$C$5:$C$304,MATCH($A14,'Inventario General'!$A$5:$A$304,0))&amp;"","No está en el inventario"))</f>
        <v/>
      </c>
      <c r="C14" s="25" t="str">
        <f>IF($A14="","",IFERROR(INDEX('Inventario General'!$D$5:$D$304,MATCH($A14,'Inventario General'!$A$5:$A$304,0))&amp;"","No está en el inventario"))</f>
        <v/>
      </c>
      <c r="D14" s="25" t="str">
        <f>IF($A14="","",IFERROR(INDEX('Inventario General'!$I$5:$I$304,MATCH($A14,'Inventario General'!$A$5:$A$304,0))&amp;"","No está en el inventario"))</f>
        <v/>
      </c>
      <c r="E14" s="26"/>
      <c r="F14" s="26"/>
      <c r="G14" s="26"/>
      <c r="H14" s="29"/>
      <c r="I14" s="29"/>
      <c r="J14" s="44"/>
      <c r="K14" s="47"/>
      <c r="L14" s="26"/>
      <c r="M14" s="29"/>
      <c r="N14" s="26"/>
      <c r="O14" s="26"/>
      <c r="P14" s="26"/>
      <c r="Q14" s="26"/>
      <c r="R14" s="29"/>
      <c r="S14" s="26"/>
      <c r="T14" s="44"/>
      <c r="U14" s="26"/>
      <c r="V14" s="26"/>
      <c r="W14" s="27"/>
      <c r="X14" s="26"/>
    </row>
    <row r="15" spans="1:24" x14ac:dyDescent="0.25">
      <c r="A15" s="26"/>
      <c r="B15" s="25" t="str">
        <f>IF($A15="","",IFERROR(INDEX('Inventario General'!$C$5:$C$304,MATCH($A15,'Inventario General'!$A$5:$A$304,0))&amp;"","No está en el inventario"))</f>
        <v/>
      </c>
      <c r="C15" s="25" t="str">
        <f>IF($A15="","",IFERROR(INDEX('Inventario General'!$D$5:$D$304,MATCH($A15,'Inventario General'!$A$5:$A$304,0))&amp;"","No está en el inventario"))</f>
        <v/>
      </c>
      <c r="D15" s="25" t="str">
        <f>IF($A15="","",IFERROR(INDEX('Inventario General'!$I$5:$I$304,MATCH($A15,'Inventario General'!$A$5:$A$304,0))&amp;"","No está en el inventario"))</f>
        <v/>
      </c>
      <c r="E15" s="26"/>
      <c r="F15" s="26"/>
      <c r="G15" s="26"/>
      <c r="H15" s="29"/>
      <c r="I15" s="29"/>
      <c r="J15" s="44"/>
      <c r="K15" s="47"/>
      <c r="L15" s="26"/>
      <c r="M15" s="29"/>
      <c r="N15" s="26"/>
      <c r="O15" s="26"/>
      <c r="P15" s="26"/>
      <c r="Q15" s="26"/>
      <c r="R15" s="29"/>
      <c r="S15" s="26"/>
      <c r="T15" s="44"/>
      <c r="U15" s="26"/>
      <c r="V15" s="26"/>
      <c r="W15" s="27"/>
      <c r="X15" s="26"/>
    </row>
    <row r="16" spans="1:24" x14ac:dyDescent="0.25">
      <c r="A16" s="26"/>
      <c r="B16" s="25" t="str">
        <f>IF($A16="","",IFERROR(INDEX('Inventario General'!$C$5:$C$304,MATCH($A16,'Inventario General'!$A$5:$A$304,0))&amp;"","No está en el inventario"))</f>
        <v/>
      </c>
      <c r="C16" s="25" t="str">
        <f>IF($A16="","",IFERROR(INDEX('Inventario General'!$D$5:$D$304,MATCH($A16,'Inventario General'!$A$5:$A$304,0))&amp;"","No está en el inventario"))</f>
        <v/>
      </c>
      <c r="D16" s="25" t="str">
        <f>IF($A16="","",IFERROR(INDEX('Inventario General'!$I$5:$I$304,MATCH($A16,'Inventario General'!$A$5:$A$304,0))&amp;"","No está en el inventario"))</f>
        <v/>
      </c>
      <c r="E16" s="26"/>
      <c r="F16" s="26"/>
      <c r="G16" s="26"/>
      <c r="H16" s="29"/>
      <c r="I16" s="29"/>
      <c r="J16" s="44"/>
      <c r="K16" s="47"/>
      <c r="L16" s="26"/>
      <c r="M16" s="29"/>
      <c r="N16" s="26"/>
      <c r="O16" s="26"/>
      <c r="P16" s="26"/>
      <c r="Q16" s="26"/>
      <c r="R16" s="29"/>
      <c r="S16" s="26"/>
      <c r="T16" s="44"/>
      <c r="U16" s="26"/>
      <c r="V16" s="26"/>
      <c r="W16" s="27"/>
      <c r="X16" s="26"/>
    </row>
    <row r="17" spans="1:24" x14ac:dyDescent="0.25">
      <c r="A17" s="26"/>
      <c r="B17" s="25" t="str">
        <f>IF($A17="","",IFERROR(INDEX('Inventario General'!$C$5:$C$304,MATCH($A17,'Inventario General'!$A$5:$A$304,0))&amp;"","No está en el inventario"))</f>
        <v/>
      </c>
      <c r="C17" s="25" t="str">
        <f>IF($A17="","",IFERROR(INDEX('Inventario General'!$D$5:$D$304,MATCH($A17,'Inventario General'!$A$5:$A$304,0))&amp;"","No está en el inventario"))</f>
        <v/>
      </c>
      <c r="D17" s="25" t="str">
        <f>IF($A17="","",IFERROR(INDEX('Inventario General'!$I$5:$I$304,MATCH($A17,'Inventario General'!$A$5:$A$304,0))&amp;"","No está en el inventario"))</f>
        <v/>
      </c>
      <c r="E17" s="26"/>
      <c r="F17" s="26"/>
      <c r="G17" s="26"/>
      <c r="H17" s="29"/>
      <c r="I17" s="29"/>
      <c r="J17" s="44"/>
      <c r="K17" s="47"/>
      <c r="L17" s="26"/>
      <c r="M17" s="29"/>
      <c r="N17" s="26"/>
      <c r="O17" s="26"/>
      <c r="P17" s="26"/>
      <c r="Q17" s="26"/>
      <c r="R17" s="29"/>
      <c r="S17" s="26"/>
      <c r="T17" s="44"/>
      <c r="U17" s="26"/>
      <c r="V17" s="26"/>
      <c r="W17" s="27"/>
      <c r="X17" s="26"/>
    </row>
    <row r="18" spans="1:24" x14ac:dyDescent="0.25">
      <c r="A18" s="26"/>
      <c r="B18" s="25" t="str">
        <f>IF($A18="","",IFERROR(INDEX('Inventario General'!$C$5:$C$304,MATCH($A18,'Inventario General'!$A$5:$A$304,0))&amp;"","No está en el inventario"))</f>
        <v/>
      </c>
      <c r="C18" s="25" t="str">
        <f>IF($A18="","",IFERROR(INDEX('Inventario General'!$D$5:$D$304,MATCH($A18,'Inventario General'!$A$5:$A$304,0))&amp;"","No está en el inventario"))</f>
        <v/>
      </c>
      <c r="D18" s="25" t="str">
        <f>IF($A18="","",IFERROR(INDEX('Inventario General'!$I$5:$I$304,MATCH($A18,'Inventario General'!$A$5:$A$304,0))&amp;"","No está en el inventario"))</f>
        <v/>
      </c>
      <c r="E18" s="26"/>
      <c r="F18" s="26"/>
      <c r="G18" s="26"/>
      <c r="H18" s="29"/>
      <c r="I18" s="29"/>
      <c r="J18" s="44"/>
      <c r="K18" s="47"/>
      <c r="L18" s="26"/>
      <c r="M18" s="29"/>
      <c r="N18" s="26"/>
      <c r="O18" s="26"/>
      <c r="P18" s="26"/>
      <c r="Q18" s="26"/>
      <c r="R18" s="29"/>
      <c r="S18" s="26"/>
      <c r="T18" s="44"/>
      <c r="U18" s="26"/>
      <c r="V18" s="26"/>
      <c r="W18" s="27"/>
      <c r="X18" s="26"/>
    </row>
    <row r="19" spans="1:24" x14ac:dyDescent="0.25">
      <c r="A19" s="26"/>
      <c r="B19" s="25" t="str">
        <f>IF($A19="","",IFERROR(INDEX('Inventario General'!$C$5:$C$304,MATCH($A19,'Inventario General'!$A$5:$A$304,0))&amp;"","No está en el inventario"))</f>
        <v/>
      </c>
      <c r="C19" s="25" t="str">
        <f>IF($A19="","",IFERROR(INDEX('Inventario General'!$D$5:$D$304,MATCH($A19,'Inventario General'!$A$5:$A$304,0))&amp;"","No está en el inventario"))</f>
        <v/>
      </c>
      <c r="D19" s="25" t="str">
        <f>IF($A19="","",IFERROR(INDEX('Inventario General'!$I$5:$I$304,MATCH($A19,'Inventario General'!$A$5:$A$304,0))&amp;"","No está en el inventario"))</f>
        <v/>
      </c>
      <c r="E19" s="26"/>
      <c r="F19" s="26"/>
      <c r="G19" s="26"/>
      <c r="H19" s="29"/>
      <c r="I19" s="29"/>
      <c r="J19" s="44"/>
      <c r="K19" s="47"/>
      <c r="L19" s="26"/>
      <c r="M19" s="29"/>
      <c r="N19" s="26"/>
      <c r="O19" s="26"/>
      <c r="P19" s="26"/>
      <c r="Q19" s="26"/>
      <c r="R19" s="29"/>
      <c r="S19" s="26"/>
      <c r="T19" s="44"/>
      <c r="U19" s="26"/>
      <c r="V19" s="26"/>
      <c r="W19" s="27"/>
      <c r="X19" s="26"/>
    </row>
    <row r="20" spans="1:24" x14ac:dyDescent="0.25">
      <c r="A20" s="26"/>
      <c r="B20" s="25" t="str">
        <f>IF($A20="","",IFERROR(INDEX('Inventario General'!$C$5:$C$304,MATCH($A20,'Inventario General'!$A$5:$A$304,0))&amp;"","No está en el inventario"))</f>
        <v/>
      </c>
      <c r="C20" s="25" t="str">
        <f>IF($A20="","",IFERROR(INDEX('Inventario General'!$D$5:$D$304,MATCH($A20,'Inventario General'!$A$5:$A$304,0))&amp;"","No está en el inventario"))</f>
        <v/>
      </c>
      <c r="D20" s="25" t="str">
        <f>IF($A20="","",IFERROR(INDEX('Inventario General'!$I$5:$I$304,MATCH($A20,'Inventario General'!$A$5:$A$304,0))&amp;"","No está en el inventario"))</f>
        <v/>
      </c>
      <c r="E20" s="26"/>
      <c r="F20" s="26"/>
      <c r="G20" s="26"/>
      <c r="H20" s="29"/>
      <c r="I20" s="29"/>
      <c r="J20" s="44"/>
      <c r="K20" s="47"/>
      <c r="L20" s="26"/>
      <c r="M20" s="29"/>
      <c r="N20" s="26"/>
      <c r="O20" s="26"/>
      <c r="P20" s="26"/>
      <c r="Q20" s="26"/>
      <c r="R20" s="29"/>
      <c r="S20" s="26"/>
      <c r="T20" s="44"/>
      <c r="U20" s="26"/>
      <c r="V20" s="26"/>
      <c r="W20" s="27"/>
      <c r="X20" s="26"/>
    </row>
    <row r="21" spans="1:24" x14ac:dyDescent="0.25">
      <c r="A21" s="26"/>
      <c r="B21" s="25" t="str">
        <f>IF($A21="","",IFERROR(INDEX('Inventario General'!$C$5:$C$304,MATCH($A21,'Inventario General'!$A$5:$A$304,0))&amp;"","No está en el inventario"))</f>
        <v/>
      </c>
      <c r="C21" s="25" t="str">
        <f>IF($A21="","",IFERROR(INDEX('Inventario General'!$D$5:$D$304,MATCH($A21,'Inventario General'!$A$5:$A$304,0))&amp;"","No está en el inventario"))</f>
        <v/>
      </c>
      <c r="D21" s="25" t="str">
        <f>IF($A21="","",IFERROR(INDEX('Inventario General'!$I$5:$I$304,MATCH($A21,'Inventario General'!$A$5:$A$304,0))&amp;"","No está en el inventario"))</f>
        <v/>
      </c>
      <c r="E21" s="26"/>
      <c r="F21" s="26"/>
      <c r="G21" s="26"/>
      <c r="H21" s="29"/>
      <c r="I21" s="29"/>
      <c r="J21" s="44"/>
      <c r="K21" s="47"/>
      <c r="L21" s="26"/>
      <c r="M21" s="29"/>
      <c r="N21" s="26"/>
      <c r="O21" s="26"/>
      <c r="P21" s="26"/>
      <c r="Q21" s="26"/>
      <c r="R21" s="29"/>
      <c r="S21" s="26"/>
      <c r="T21" s="44"/>
      <c r="U21" s="26"/>
      <c r="V21" s="26"/>
      <c r="W21" s="27"/>
      <c r="X21" s="26"/>
    </row>
    <row r="22" spans="1:24" x14ac:dyDescent="0.25">
      <c r="A22" s="26"/>
      <c r="B22" s="25" t="str">
        <f>IF($A22="","",IFERROR(INDEX('Inventario General'!$C$5:$C$304,MATCH($A22,'Inventario General'!$A$5:$A$304,0))&amp;"","No está en el inventario"))</f>
        <v/>
      </c>
      <c r="C22" s="25" t="str">
        <f>IF($A22="","",IFERROR(INDEX('Inventario General'!$D$5:$D$304,MATCH($A22,'Inventario General'!$A$5:$A$304,0))&amp;"","No está en el inventario"))</f>
        <v/>
      </c>
      <c r="D22" s="25" t="str">
        <f>IF($A22="","",IFERROR(INDEX('Inventario General'!$I$5:$I$304,MATCH($A22,'Inventario General'!$A$5:$A$304,0))&amp;"","No está en el inventario"))</f>
        <v/>
      </c>
      <c r="E22" s="26"/>
      <c r="F22" s="26"/>
      <c r="G22" s="26"/>
      <c r="H22" s="29"/>
      <c r="I22" s="29"/>
      <c r="J22" s="44"/>
      <c r="K22" s="47"/>
      <c r="L22" s="26"/>
      <c r="M22" s="29"/>
      <c r="N22" s="26"/>
      <c r="O22" s="26"/>
      <c r="P22" s="26"/>
      <c r="Q22" s="26"/>
      <c r="R22" s="29"/>
      <c r="S22" s="26"/>
      <c r="T22" s="44"/>
      <c r="U22" s="26"/>
      <c r="V22" s="26"/>
      <c r="W22" s="27"/>
      <c r="X22" s="26"/>
    </row>
    <row r="23" spans="1:24" x14ac:dyDescent="0.25">
      <c r="A23" s="26"/>
      <c r="B23" s="25" t="str">
        <f>IF($A23="","",IFERROR(INDEX('Inventario General'!$C$5:$C$304,MATCH($A23,'Inventario General'!$A$5:$A$304,0))&amp;"","No está en el inventario"))</f>
        <v/>
      </c>
      <c r="C23" s="25" t="str">
        <f>IF($A23="","",IFERROR(INDEX('Inventario General'!$D$5:$D$304,MATCH($A23,'Inventario General'!$A$5:$A$304,0))&amp;"","No está en el inventario"))</f>
        <v/>
      </c>
      <c r="D23" s="25" t="str">
        <f>IF($A23="","",IFERROR(INDEX('Inventario General'!$I$5:$I$304,MATCH($A23,'Inventario General'!$A$5:$A$304,0))&amp;"","No está en el inventario"))</f>
        <v/>
      </c>
      <c r="E23" s="26"/>
      <c r="F23" s="26"/>
      <c r="G23" s="26"/>
      <c r="H23" s="29"/>
      <c r="I23" s="29"/>
      <c r="J23" s="44"/>
      <c r="K23" s="47"/>
      <c r="L23" s="26"/>
      <c r="M23" s="29"/>
      <c r="N23" s="26"/>
      <c r="O23" s="26"/>
      <c r="P23" s="26"/>
      <c r="Q23" s="26"/>
      <c r="R23" s="29"/>
      <c r="S23" s="26"/>
      <c r="T23" s="44"/>
      <c r="U23" s="26"/>
      <c r="V23" s="26"/>
      <c r="W23" s="27"/>
      <c r="X23" s="26"/>
    </row>
    <row r="24" spans="1:24" x14ac:dyDescent="0.25">
      <c r="A24" s="26"/>
      <c r="B24" s="25" t="str">
        <f>IF($A24="","",IFERROR(INDEX('Inventario General'!$C$5:$C$304,MATCH($A24,'Inventario General'!$A$5:$A$304,0))&amp;"","No está en el inventario"))</f>
        <v/>
      </c>
      <c r="C24" s="25" t="str">
        <f>IF($A24="","",IFERROR(INDEX('Inventario General'!$D$5:$D$304,MATCH($A24,'Inventario General'!$A$5:$A$304,0))&amp;"","No está en el inventario"))</f>
        <v/>
      </c>
      <c r="D24" s="25" t="str">
        <f>IF($A24="","",IFERROR(INDEX('Inventario General'!$I$5:$I$304,MATCH($A24,'Inventario General'!$A$5:$A$304,0))&amp;"","No está en el inventario"))</f>
        <v/>
      </c>
      <c r="E24" s="26"/>
      <c r="F24" s="26"/>
      <c r="G24" s="26"/>
      <c r="H24" s="29"/>
      <c r="I24" s="29"/>
      <c r="J24" s="44"/>
      <c r="K24" s="47"/>
      <c r="L24" s="26"/>
      <c r="M24" s="29"/>
      <c r="N24" s="26"/>
      <c r="O24" s="26"/>
      <c r="P24" s="26"/>
      <c r="Q24" s="26"/>
      <c r="R24" s="29"/>
      <c r="S24" s="26"/>
      <c r="T24" s="44"/>
      <c r="U24" s="26"/>
      <c r="V24" s="26"/>
      <c r="W24" s="27"/>
      <c r="X24" s="26"/>
    </row>
    <row r="25" spans="1:24" x14ac:dyDescent="0.25">
      <c r="A25" s="26"/>
      <c r="B25" s="25" t="str">
        <f>IF($A25="","",IFERROR(INDEX('Inventario General'!$C$5:$C$304,MATCH($A25,'Inventario General'!$A$5:$A$304,0))&amp;"","No está en el inventario"))</f>
        <v/>
      </c>
      <c r="C25" s="25" t="str">
        <f>IF($A25="","",IFERROR(INDEX('Inventario General'!$D$5:$D$304,MATCH($A25,'Inventario General'!$A$5:$A$304,0))&amp;"","No está en el inventario"))</f>
        <v/>
      </c>
      <c r="D25" s="25" t="str">
        <f>IF($A25="","",IFERROR(INDEX('Inventario General'!$I$5:$I$304,MATCH($A25,'Inventario General'!$A$5:$A$304,0))&amp;"","No está en el inventario"))</f>
        <v/>
      </c>
      <c r="E25" s="26"/>
      <c r="F25" s="26"/>
      <c r="G25" s="26"/>
      <c r="H25" s="29"/>
      <c r="I25" s="29"/>
      <c r="J25" s="44"/>
      <c r="K25" s="47"/>
      <c r="L25" s="26"/>
      <c r="M25" s="29"/>
      <c r="N25" s="26"/>
      <c r="O25" s="26"/>
      <c r="P25" s="26"/>
      <c r="Q25" s="26"/>
      <c r="R25" s="29"/>
      <c r="S25" s="26"/>
      <c r="T25" s="44"/>
      <c r="U25" s="26"/>
      <c r="V25" s="26"/>
      <c r="W25" s="27"/>
      <c r="X25" s="26"/>
    </row>
    <row r="26" spans="1:24" x14ac:dyDescent="0.25">
      <c r="A26" s="26"/>
      <c r="B26" s="25" t="str">
        <f>IF($A26="","",IFERROR(INDEX('Inventario General'!$C$5:$C$304,MATCH($A26,'Inventario General'!$A$5:$A$304,0))&amp;"","No está en el inventario"))</f>
        <v/>
      </c>
      <c r="C26" s="25" t="str">
        <f>IF($A26="","",IFERROR(INDEX('Inventario General'!$D$5:$D$304,MATCH($A26,'Inventario General'!$A$5:$A$304,0))&amp;"","No está en el inventario"))</f>
        <v/>
      </c>
      <c r="D26" s="25" t="str">
        <f>IF($A26="","",IFERROR(INDEX('Inventario General'!$I$5:$I$304,MATCH($A26,'Inventario General'!$A$5:$A$304,0))&amp;"","No está en el inventario"))</f>
        <v/>
      </c>
      <c r="E26" s="26"/>
      <c r="F26" s="26"/>
      <c r="G26" s="26"/>
      <c r="H26" s="29"/>
      <c r="I26" s="29"/>
      <c r="J26" s="44"/>
      <c r="K26" s="47"/>
      <c r="L26" s="26"/>
      <c r="M26" s="29"/>
      <c r="N26" s="26"/>
      <c r="O26" s="26"/>
      <c r="P26" s="26"/>
      <c r="Q26" s="26"/>
      <c r="R26" s="29"/>
      <c r="S26" s="26"/>
      <c r="T26" s="44"/>
      <c r="U26" s="26"/>
      <c r="V26" s="26"/>
      <c r="W26" s="27"/>
      <c r="X26" s="26"/>
    </row>
    <row r="27" spans="1:24" x14ac:dyDescent="0.25">
      <c r="A27" s="26"/>
      <c r="B27" s="25" t="str">
        <f>IF($A27="","",IFERROR(INDEX('Inventario General'!$C$5:$C$304,MATCH($A27,'Inventario General'!$A$5:$A$304,0))&amp;"","No está en el inventario"))</f>
        <v/>
      </c>
      <c r="C27" s="25" t="str">
        <f>IF($A27="","",IFERROR(INDEX('Inventario General'!$D$5:$D$304,MATCH($A27,'Inventario General'!$A$5:$A$304,0))&amp;"","No está en el inventario"))</f>
        <v/>
      </c>
      <c r="D27" s="25" t="str">
        <f>IF($A27="","",IFERROR(INDEX('Inventario General'!$I$5:$I$304,MATCH($A27,'Inventario General'!$A$5:$A$304,0))&amp;"","No está en el inventario"))</f>
        <v/>
      </c>
      <c r="E27" s="26"/>
      <c r="F27" s="26"/>
      <c r="G27" s="26"/>
      <c r="H27" s="29"/>
      <c r="I27" s="29"/>
      <c r="J27" s="44"/>
      <c r="K27" s="47"/>
      <c r="L27" s="26"/>
      <c r="M27" s="29"/>
      <c r="N27" s="26"/>
      <c r="O27" s="26"/>
      <c r="P27" s="26"/>
      <c r="Q27" s="26"/>
      <c r="R27" s="29"/>
      <c r="S27" s="26"/>
      <c r="T27" s="44"/>
      <c r="U27" s="26"/>
      <c r="V27" s="26"/>
      <c r="W27" s="27"/>
      <c r="X27" s="26"/>
    </row>
    <row r="28" spans="1:24" x14ac:dyDescent="0.25">
      <c r="A28" s="26"/>
      <c r="B28" s="25" t="str">
        <f>IF($A28="","",IFERROR(INDEX('Inventario General'!$C$5:$C$304,MATCH($A28,'Inventario General'!$A$5:$A$304,0))&amp;"","No está en el inventario"))</f>
        <v/>
      </c>
      <c r="C28" s="25" t="str">
        <f>IF($A28="","",IFERROR(INDEX('Inventario General'!$D$5:$D$304,MATCH($A28,'Inventario General'!$A$5:$A$304,0))&amp;"","No está en el inventario"))</f>
        <v/>
      </c>
      <c r="D28" s="25" t="str">
        <f>IF($A28="","",IFERROR(INDEX('Inventario General'!$I$5:$I$304,MATCH($A28,'Inventario General'!$A$5:$A$304,0))&amp;"","No está en el inventario"))</f>
        <v/>
      </c>
      <c r="E28" s="26"/>
      <c r="F28" s="26"/>
      <c r="G28" s="26"/>
      <c r="H28" s="29"/>
      <c r="I28" s="29"/>
      <c r="J28" s="44"/>
      <c r="K28" s="47"/>
      <c r="L28" s="26"/>
      <c r="M28" s="29"/>
      <c r="N28" s="26"/>
      <c r="O28" s="26"/>
      <c r="P28" s="26"/>
      <c r="Q28" s="26"/>
      <c r="R28" s="29"/>
      <c r="S28" s="26"/>
      <c r="T28" s="44"/>
      <c r="U28" s="26"/>
      <c r="V28" s="26"/>
      <c r="W28" s="27"/>
      <c r="X28" s="26"/>
    </row>
    <row r="29" spans="1:24" x14ac:dyDescent="0.25">
      <c r="A29" s="26"/>
      <c r="B29" s="25" t="str">
        <f>IF($A29="","",IFERROR(INDEX('Inventario General'!$C$5:$C$304,MATCH($A29,'Inventario General'!$A$5:$A$304,0))&amp;"","No está en el inventario"))</f>
        <v/>
      </c>
      <c r="C29" s="25" t="str">
        <f>IF($A29="","",IFERROR(INDEX('Inventario General'!$D$5:$D$304,MATCH($A29,'Inventario General'!$A$5:$A$304,0))&amp;"","No está en el inventario"))</f>
        <v/>
      </c>
      <c r="D29" s="25" t="str">
        <f>IF($A29="","",IFERROR(INDEX('Inventario General'!$I$5:$I$304,MATCH($A29,'Inventario General'!$A$5:$A$304,0))&amp;"","No está en el inventario"))</f>
        <v/>
      </c>
      <c r="E29" s="26"/>
      <c r="F29" s="26"/>
      <c r="G29" s="26"/>
      <c r="H29" s="29"/>
      <c r="I29" s="29"/>
      <c r="J29" s="44"/>
      <c r="K29" s="47"/>
      <c r="L29" s="26"/>
      <c r="M29" s="29"/>
      <c r="N29" s="26"/>
      <c r="O29" s="26"/>
      <c r="P29" s="26"/>
      <c r="Q29" s="26"/>
      <c r="R29" s="29"/>
      <c r="S29" s="26"/>
      <c r="T29" s="44"/>
      <c r="U29" s="26"/>
      <c r="V29" s="26"/>
      <c r="W29" s="27"/>
      <c r="X29" s="26"/>
    </row>
    <row r="30" spans="1:24" x14ac:dyDescent="0.25">
      <c r="A30" s="26"/>
      <c r="B30" s="25" t="str">
        <f>IF($A30="","",IFERROR(INDEX('Inventario General'!$C$5:$C$304,MATCH($A30,'Inventario General'!$A$5:$A$304,0))&amp;"","No está en el inventario"))</f>
        <v/>
      </c>
      <c r="C30" s="25" t="str">
        <f>IF($A30="","",IFERROR(INDEX('Inventario General'!$D$5:$D$304,MATCH($A30,'Inventario General'!$A$5:$A$304,0))&amp;"","No está en el inventario"))</f>
        <v/>
      </c>
      <c r="D30" s="25" t="str">
        <f>IF($A30="","",IFERROR(INDEX('Inventario General'!$I$5:$I$304,MATCH($A30,'Inventario General'!$A$5:$A$304,0))&amp;"","No está en el inventario"))</f>
        <v/>
      </c>
      <c r="E30" s="26"/>
      <c r="F30" s="26"/>
      <c r="G30" s="26"/>
      <c r="H30" s="29"/>
      <c r="I30" s="29"/>
      <c r="J30" s="44"/>
      <c r="K30" s="47"/>
      <c r="L30" s="26"/>
      <c r="M30" s="29"/>
      <c r="N30" s="26"/>
      <c r="O30" s="26"/>
      <c r="P30" s="26"/>
      <c r="Q30" s="26"/>
      <c r="R30" s="29"/>
      <c r="S30" s="26"/>
      <c r="T30" s="44"/>
      <c r="U30" s="26"/>
      <c r="V30" s="26"/>
      <c r="W30" s="27"/>
      <c r="X30" s="26"/>
    </row>
    <row r="31" spans="1:24" x14ac:dyDescent="0.25">
      <c r="A31" s="26"/>
      <c r="B31" s="25" t="str">
        <f>IF($A31="","",IFERROR(INDEX('Inventario General'!$C$5:$C$304,MATCH($A31,'Inventario General'!$A$5:$A$304,0))&amp;"","No está en el inventario"))</f>
        <v/>
      </c>
      <c r="C31" s="25" t="str">
        <f>IF($A31="","",IFERROR(INDEX('Inventario General'!$D$5:$D$304,MATCH($A31,'Inventario General'!$A$5:$A$304,0))&amp;"","No está en el inventario"))</f>
        <v/>
      </c>
      <c r="D31" s="25" t="str">
        <f>IF($A31="","",IFERROR(INDEX('Inventario General'!$I$5:$I$304,MATCH($A31,'Inventario General'!$A$5:$A$304,0))&amp;"","No está en el inventario"))</f>
        <v/>
      </c>
      <c r="E31" s="26"/>
      <c r="F31" s="26"/>
      <c r="G31" s="26"/>
      <c r="H31" s="29"/>
      <c r="I31" s="29"/>
      <c r="J31" s="44"/>
      <c r="K31" s="47"/>
      <c r="L31" s="26"/>
      <c r="M31" s="29"/>
      <c r="N31" s="26"/>
      <c r="O31" s="26"/>
      <c r="P31" s="26"/>
      <c r="Q31" s="26"/>
      <c r="R31" s="29"/>
      <c r="S31" s="26"/>
      <c r="T31" s="44"/>
      <c r="U31" s="26"/>
      <c r="V31" s="26"/>
      <c r="W31" s="27"/>
      <c r="X31" s="26"/>
    </row>
    <row r="32" spans="1:24" x14ac:dyDescent="0.25">
      <c r="A32" s="26"/>
      <c r="B32" s="25" t="str">
        <f>IF($A32="","",IFERROR(INDEX('Inventario General'!$C$5:$C$304,MATCH($A32,'Inventario General'!$A$5:$A$304,0))&amp;"","No está en el inventario"))</f>
        <v/>
      </c>
      <c r="C32" s="25" t="str">
        <f>IF($A32="","",IFERROR(INDEX('Inventario General'!$D$5:$D$304,MATCH($A32,'Inventario General'!$A$5:$A$304,0))&amp;"","No está en el inventario"))</f>
        <v/>
      </c>
      <c r="D32" s="25" t="str">
        <f>IF($A32="","",IFERROR(INDEX('Inventario General'!$I$5:$I$304,MATCH($A32,'Inventario General'!$A$5:$A$304,0))&amp;"","No está en el inventario"))</f>
        <v/>
      </c>
      <c r="E32" s="26"/>
      <c r="F32" s="26"/>
      <c r="G32" s="26"/>
      <c r="H32" s="29"/>
      <c r="I32" s="29"/>
      <c r="J32" s="44"/>
      <c r="K32" s="47"/>
      <c r="L32" s="26"/>
      <c r="M32" s="29"/>
      <c r="N32" s="26"/>
      <c r="O32" s="26"/>
      <c r="P32" s="26"/>
      <c r="Q32" s="26"/>
      <c r="R32" s="29"/>
      <c r="S32" s="26"/>
      <c r="T32" s="44"/>
      <c r="U32" s="26"/>
      <c r="V32" s="26"/>
      <c r="W32" s="27"/>
      <c r="X32" s="26"/>
    </row>
    <row r="33" spans="1:24" x14ac:dyDescent="0.25">
      <c r="A33" s="26"/>
      <c r="B33" s="25" t="str">
        <f>IF($A33="","",IFERROR(INDEX('Inventario General'!$C$5:$C$304,MATCH($A33,'Inventario General'!$A$5:$A$304,0))&amp;"","No está en el inventario"))</f>
        <v/>
      </c>
      <c r="C33" s="25" t="str">
        <f>IF($A33="","",IFERROR(INDEX('Inventario General'!$D$5:$D$304,MATCH($A33,'Inventario General'!$A$5:$A$304,0))&amp;"","No está en el inventario"))</f>
        <v/>
      </c>
      <c r="D33" s="25" t="str">
        <f>IF($A33="","",IFERROR(INDEX('Inventario General'!$I$5:$I$304,MATCH($A33,'Inventario General'!$A$5:$A$304,0))&amp;"","No está en el inventario"))</f>
        <v/>
      </c>
      <c r="E33" s="26"/>
      <c r="F33" s="26"/>
      <c r="G33" s="26"/>
      <c r="H33" s="29"/>
      <c r="I33" s="29"/>
      <c r="J33" s="44"/>
      <c r="K33" s="47"/>
      <c r="L33" s="26"/>
      <c r="M33" s="29"/>
      <c r="N33" s="26"/>
      <c r="O33" s="26"/>
      <c r="P33" s="26"/>
      <c r="Q33" s="26"/>
      <c r="R33" s="29"/>
      <c r="S33" s="26"/>
      <c r="T33" s="44"/>
      <c r="U33" s="26"/>
      <c r="V33" s="26"/>
      <c r="W33" s="27"/>
      <c r="X33" s="26"/>
    </row>
    <row r="34" spans="1:24" x14ac:dyDescent="0.25">
      <c r="A34" s="26"/>
      <c r="B34" s="25" t="str">
        <f>IF($A34="","",IFERROR(INDEX('Inventario General'!$C$5:$C$304,MATCH($A34,'Inventario General'!$A$5:$A$304,0))&amp;"","No está en el inventario"))</f>
        <v/>
      </c>
      <c r="C34" s="25" t="str">
        <f>IF($A34="","",IFERROR(INDEX('Inventario General'!$D$5:$D$304,MATCH($A34,'Inventario General'!$A$5:$A$304,0))&amp;"","No está en el inventario"))</f>
        <v/>
      </c>
      <c r="D34" s="25" t="str">
        <f>IF($A34="","",IFERROR(INDEX('Inventario General'!$I$5:$I$304,MATCH($A34,'Inventario General'!$A$5:$A$304,0))&amp;"","No está en el inventario"))</f>
        <v/>
      </c>
      <c r="E34" s="26"/>
      <c r="F34" s="26"/>
      <c r="G34" s="26"/>
      <c r="H34" s="29"/>
      <c r="I34" s="29"/>
      <c r="J34" s="44"/>
      <c r="K34" s="47"/>
      <c r="L34" s="26"/>
      <c r="M34" s="29"/>
      <c r="N34" s="26"/>
      <c r="O34" s="26"/>
      <c r="P34" s="26"/>
      <c r="Q34" s="26"/>
      <c r="R34" s="29"/>
      <c r="S34" s="26"/>
      <c r="T34" s="44"/>
      <c r="U34" s="26"/>
      <c r="V34" s="26"/>
      <c r="W34" s="27"/>
      <c r="X34" s="26"/>
    </row>
    <row r="35" spans="1:24" x14ac:dyDescent="0.25">
      <c r="A35" s="26"/>
      <c r="B35" s="25" t="str">
        <f>IF($A35="","",IFERROR(INDEX('Inventario General'!$C$5:$C$304,MATCH($A35,'Inventario General'!$A$5:$A$304,0))&amp;"","No está en el inventario"))</f>
        <v/>
      </c>
      <c r="C35" s="25" t="str">
        <f>IF($A35="","",IFERROR(INDEX('Inventario General'!$D$5:$D$304,MATCH($A35,'Inventario General'!$A$5:$A$304,0))&amp;"","No está en el inventario"))</f>
        <v/>
      </c>
      <c r="D35" s="25" t="str">
        <f>IF($A35="","",IFERROR(INDEX('Inventario General'!$I$5:$I$304,MATCH($A35,'Inventario General'!$A$5:$A$304,0))&amp;"","No está en el inventario"))</f>
        <v/>
      </c>
      <c r="E35" s="26"/>
      <c r="F35" s="26"/>
      <c r="G35" s="26"/>
      <c r="H35" s="29"/>
      <c r="I35" s="29"/>
      <c r="J35" s="44"/>
      <c r="K35" s="47"/>
      <c r="L35" s="26"/>
      <c r="M35" s="29"/>
      <c r="N35" s="26"/>
      <c r="O35" s="26"/>
      <c r="P35" s="26"/>
      <c r="Q35" s="26"/>
      <c r="R35" s="29"/>
      <c r="S35" s="26"/>
      <c r="T35" s="44"/>
      <c r="U35" s="26"/>
      <c r="V35" s="26"/>
      <c r="W35" s="27"/>
      <c r="X35" s="26"/>
    </row>
    <row r="36" spans="1:24" x14ac:dyDescent="0.25">
      <c r="A36" s="26"/>
      <c r="B36" s="25" t="str">
        <f>IF($A36="","",IFERROR(INDEX('Inventario General'!$C$5:$C$304,MATCH($A36,'Inventario General'!$A$5:$A$304,0))&amp;"","No está en el inventario"))</f>
        <v/>
      </c>
      <c r="C36" s="25" t="str">
        <f>IF($A36="","",IFERROR(INDEX('Inventario General'!$D$5:$D$304,MATCH($A36,'Inventario General'!$A$5:$A$304,0))&amp;"","No está en el inventario"))</f>
        <v/>
      </c>
      <c r="D36" s="25" t="str">
        <f>IF($A36="","",IFERROR(INDEX('Inventario General'!$I$5:$I$304,MATCH($A36,'Inventario General'!$A$5:$A$304,0))&amp;"","No está en el inventario"))</f>
        <v/>
      </c>
      <c r="E36" s="26"/>
      <c r="F36" s="26"/>
      <c r="G36" s="26"/>
      <c r="H36" s="29"/>
      <c r="I36" s="29"/>
      <c r="J36" s="44"/>
      <c r="K36" s="47"/>
      <c r="L36" s="26"/>
      <c r="M36" s="29"/>
      <c r="N36" s="26"/>
      <c r="O36" s="26"/>
      <c r="P36" s="26"/>
      <c r="Q36" s="26"/>
      <c r="R36" s="29"/>
      <c r="S36" s="26"/>
      <c r="T36" s="44"/>
      <c r="U36" s="26"/>
      <c r="V36" s="26"/>
      <c r="W36" s="27"/>
      <c r="X36" s="26"/>
    </row>
    <row r="37" spans="1:24" x14ac:dyDescent="0.25">
      <c r="A37" s="26"/>
      <c r="B37" s="25" t="str">
        <f>IF($A37="","",IFERROR(INDEX('Inventario General'!$C$5:$C$304,MATCH($A37,'Inventario General'!$A$5:$A$304,0))&amp;"","No está en el inventario"))</f>
        <v/>
      </c>
      <c r="C37" s="25" t="str">
        <f>IF($A37="","",IFERROR(INDEX('Inventario General'!$D$5:$D$304,MATCH($A37,'Inventario General'!$A$5:$A$304,0))&amp;"","No está en el inventario"))</f>
        <v/>
      </c>
      <c r="D37" s="25" t="str">
        <f>IF($A37="","",IFERROR(INDEX('Inventario General'!$I$5:$I$304,MATCH($A37,'Inventario General'!$A$5:$A$304,0))&amp;"","No está en el inventario"))</f>
        <v/>
      </c>
      <c r="E37" s="26"/>
      <c r="F37" s="26"/>
      <c r="G37" s="26"/>
      <c r="H37" s="29"/>
      <c r="I37" s="29"/>
      <c r="J37" s="44"/>
      <c r="K37" s="47"/>
      <c r="L37" s="26"/>
      <c r="M37" s="29"/>
      <c r="N37" s="26"/>
      <c r="O37" s="26"/>
      <c r="P37" s="26"/>
      <c r="Q37" s="26"/>
      <c r="R37" s="29"/>
      <c r="S37" s="26"/>
      <c r="T37" s="44"/>
      <c r="U37" s="26"/>
      <c r="V37" s="26"/>
      <c r="W37" s="27"/>
      <c r="X37" s="26"/>
    </row>
    <row r="38" spans="1:24" x14ac:dyDescent="0.25">
      <c r="A38" s="26"/>
      <c r="B38" s="25" t="str">
        <f>IF($A38="","",IFERROR(INDEX('Inventario General'!$C$5:$C$304,MATCH($A38,'Inventario General'!$A$5:$A$304,0))&amp;"","No está en el inventario"))</f>
        <v/>
      </c>
      <c r="C38" s="25" t="str">
        <f>IF($A38="","",IFERROR(INDEX('Inventario General'!$D$5:$D$304,MATCH($A38,'Inventario General'!$A$5:$A$304,0))&amp;"","No está en el inventario"))</f>
        <v/>
      </c>
      <c r="D38" s="25" t="str">
        <f>IF($A38="","",IFERROR(INDEX('Inventario General'!$I$5:$I$304,MATCH($A38,'Inventario General'!$A$5:$A$304,0))&amp;"","No está en el inventario"))</f>
        <v/>
      </c>
      <c r="E38" s="26"/>
      <c r="F38" s="26"/>
      <c r="G38" s="26"/>
      <c r="H38" s="29"/>
      <c r="I38" s="29"/>
      <c r="J38" s="44"/>
      <c r="K38" s="47"/>
      <c r="L38" s="26"/>
      <c r="M38" s="29"/>
      <c r="N38" s="26"/>
      <c r="O38" s="26"/>
      <c r="P38" s="26"/>
      <c r="Q38" s="26"/>
      <c r="R38" s="29"/>
      <c r="S38" s="26"/>
      <c r="T38" s="44"/>
      <c r="U38" s="26"/>
      <c r="V38" s="26"/>
      <c r="W38" s="27"/>
      <c r="X38" s="26"/>
    </row>
    <row r="39" spans="1:24" x14ac:dyDescent="0.25">
      <c r="A39" s="26"/>
      <c r="B39" s="25" t="str">
        <f>IF($A39="","",IFERROR(INDEX('Inventario General'!$C$5:$C$304,MATCH($A39,'Inventario General'!$A$5:$A$304,0))&amp;"","No está en el inventario"))</f>
        <v/>
      </c>
      <c r="C39" s="25" t="str">
        <f>IF($A39="","",IFERROR(INDEX('Inventario General'!$D$5:$D$304,MATCH($A39,'Inventario General'!$A$5:$A$304,0))&amp;"","No está en el inventario"))</f>
        <v/>
      </c>
      <c r="D39" s="25" t="str">
        <f>IF($A39="","",IFERROR(INDEX('Inventario General'!$I$5:$I$304,MATCH($A39,'Inventario General'!$A$5:$A$304,0))&amp;"","No está en el inventario"))</f>
        <v/>
      </c>
      <c r="E39" s="26"/>
      <c r="F39" s="26"/>
      <c r="G39" s="26"/>
      <c r="H39" s="29"/>
      <c r="I39" s="29"/>
      <c r="J39" s="44"/>
      <c r="K39" s="47"/>
      <c r="L39" s="26"/>
      <c r="M39" s="29"/>
      <c r="N39" s="26"/>
      <c r="O39" s="26"/>
      <c r="P39" s="26"/>
      <c r="Q39" s="26"/>
      <c r="R39" s="29"/>
      <c r="S39" s="26"/>
      <c r="T39" s="44"/>
      <c r="U39" s="26"/>
      <c r="V39" s="26"/>
      <c r="W39" s="27"/>
      <c r="X39" s="26"/>
    </row>
    <row r="40" spans="1:24" x14ac:dyDescent="0.25">
      <c r="A40" s="26"/>
      <c r="B40" s="25" t="str">
        <f>IF($A40="","",IFERROR(INDEX('Inventario General'!$C$5:$C$304,MATCH($A40,'Inventario General'!$A$5:$A$304,0))&amp;"","No está en el inventario"))</f>
        <v/>
      </c>
      <c r="C40" s="25" t="str">
        <f>IF($A40="","",IFERROR(INDEX('Inventario General'!$D$5:$D$304,MATCH($A40,'Inventario General'!$A$5:$A$304,0))&amp;"","No está en el inventario"))</f>
        <v/>
      </c>
      <c r="D40" s="25" t="str">
        <f>IF($A40="","",IFERROR(INDEX('Inventario General'!$I$5:$I$304,MATCH($A40,'Inventario General'!$A$5:$A$304,0))&amp;"","No está en el inventario"))</f>
        <v/>
      </c>
      <c r="E40" s="26"/>
      <c r="F40" s="26"/>
      <c r="G40" s="26"/>
      <c r="H40" s="29"/>
      <c r="I40" s="29"/>
      <c r="J40" s="44"/>
      <c r="K40" s="47"/>
      <c r="L40" s="26"/>
      <c r="M40" s="29"/>
      <c r="N40" s="26"/>
      <c r="O40" s="26"/>
      <c r="P40" s="26"/>
      <c r="Q40" s="26"/>
      <c r="R40" s="29"/>
      <c r="S40" s="26"/>
      <c r="T40" s="44"/>
      <c r="U40" s="26"/>
      <c r="V40" s="26"/>
      <c r="W40" s="27"/>
      <c r="X40" s="26"/>
    </row>
    <row r="41" spans="1:24" x14ac:dyDescent="0.25">
      <c r="A41" s="26"/>
      <c r="B41" s="25" t="str">
        <f>IF($A41="","",IFERROR(INDEX('Inventario General'!$C$5:$C$304,MATCH($A41,'Inventario General'!$A$5:$A$304,0))&amp;"","No está en el inventario"))</f>
        <v/>
      </c>
      <c r="C41" s="25" t="str">
        <f>IF($A41="","",IFERROR(INDEX('Inventario General'!$D$5:$D$304,MATCH($A41,'Inventario General'!$A$5:$A$304,0))&amp;"","No está en el inventario"))</f>
        <v/>
      </c>
      <c r="D41" s="25" t="str">
        <f>IF($A41="","",IFERROR(INDEX('Inventario General'!$I$5:$I$304,MATCH($A41,'Inventario General'!$A$5:$A$304,0))&amp;"","No está en el inventario"))</f>
        <v/>
      </c>
      <c r="E41" s="26"/>
      <c r="F41" s="26"/>
      <c r="G41" s="26"/>
      <c r="H41" s="29"/>
      <c r="I41" s="29"/>
      <c r="J41" s="44"/>
      <c r="K41" s="47"/>
      <c r="L41" s="26"/>
      <c r="M41" s="29"/>
      <c r="N41" s="26"/>
      <c r="O41" s="26"/>
      <c r="P41" s="26"/>
      <c r="Q41" s="26"/>
      <c r="R41" s="29"/>
      <c r="S41" s="26"/>
      <c r="T41" s="44"/>
      <c r="U41" s="26"/>
      <c r="V41" s="26"/>
      <c r="W41" s="27"/>
      <c r="X41" s="26"/>
    </row>
    <row r="42" spans="1:24" x14ac:dyDescent="0.25">
      <c r="A42" s="26"/>
      <c r="B42" s="25" t="str">
        <f>IF($A42="","",IFERROR(INDEX('Inventario General'!$C$5:$C$304,MATCH($A42,'Inventario General'!$A$5:$A$304,0))&amp;"","No está en el inventario"))</f>
        <v/>
      </c>
      <c r="C42" s="25" t="str">
        <f>IF($A42="","",IFERROR(INDEX('Inventario General'!$D$5:$D$304,MATCH($A42,'Inventario General'!$A$5:$A$304,0))&amp;"","No está en el inventario"))</f>
        <v/>
      </c>
      <c r="D42" s="25" t="str">
        <f>IF($A42="","",IFERROR(INDEX('Inventario General'!$I$5:$I$304,MATCH($A42,'Inventario General'!$A$5:$A$304,0))&amp;"","No está en el inventario"))</f>
        <v/>
      </c>
      <c r="E42" s="26"/>
      <c r="F42" s="26"/>
      <c r="G42" s="26"/>
      <c r="H42" s="29"/>
      <c r="I42" s="29"/>
      <c r="J42" s="44"/>
      <c r="K42" s="47"/>
      <c r="L42" s="26"/>
      <c r="M42" s="29"/>
      <c r="N42" s="26"/>
      <c r="O42" s="26"/>
      <c r="P42" s="26"/>
      <c r="Q42" s="26"/>
      <c r="R42" s="29"/>
      <c r="S42" s="26"/>
      <c r="T42" s="44"/>
      <c r="U42" s="26"/>
      <c r="V42" s="26"/>
      <c r="W42" s="27"/>
      <c r="X42" s="26"/>
    </row>
    <row r="43" spans="1:24" x14ac:dyDescent="0.25">
      <c r="A43" s="26"/>
      <c r="B43" s="25" t="str">
        <f>IF($A43="","",IFERROR(INDEX('Inventario General'!$C$5:$C$304,MATCH($A43,'Inventario General'!$A$5:$A$304,0))&amp;"","No está en el inventario"))</f>
        <v/>
      </c>
      <c r="C43" s="25" t="str">
        <f>IF($A43="","",IFERROR(INDEX('Inventario General'!$D$5:$D$304,MATCH($A43,'Inventario General'!$A$5:$A$304,0))&amp;"","No está en el inventario"))</f>
        <v/>
      </c>
      <c r="D43" s="25" t="str">
        <f>IF($A43="","",IFERROR(INDEX('Inventario General'!$I$5:$I$304,MATCH($A43,'Inventario General'!$A$5:$A$304,0))&amp;"","No está en el inventario"))</f>
        <v/>
      </c>
      <c r="E43" s="26"/>
      <c r="F43" s="26"/>
      <c r="G43" s="26"/>
      <c r="H43" s="29"/>
      <c r="I43" s="29"/>
      <c r="J43" s="44"/>
      <c r="K43" s="47"/>
      <c r="L43" s="26"/>
      <c r="M43" s="29"/>
      <c r="N43" s="26"/>
      <c r="O43" s="26"/>
      <c r="P43" s="26"/>
      <c r="Q43" s="26"/>
      <c r="R43" s="29"/>
      <c r="S43" s="26"/>
      <c r="T43" s="44"/>
      <c r="U43" s="26"/>
      <c r="V43" s="26"/>
      <c r="W43" s="27"/>
      <c r="X43" s="26"/>
    </row>
    <row r="44" spans="1:24" x14ac:dyDescent="0.25">
      <c r="A44" s="26"/>
      <c r="B44" s="25" t="str">
        <f>IF($A44="","",IFERROR(INDEX('Inventario General'!$C$5:$C$304,MATCH($A44,'Inventario General'!$A$5:$A$304,0))&amp;"","No está en el inventario"))</f>
        <v/>
      </c>
      <c r="C44" s="25" t="str">
        <f>IF($A44="","",IFERROR(INDEX('Inventario General'!$D$5:$D$304,MATCH($A44,'Inventario General'!$A$5:$A$304,0))&amp;"","No está en el inventario"))</f>
        <v/>
      </c>
      <c r="D44" s="25" t="str">
        <f>IF($A44="","",IFERROR(INDEX('Inventario General'!$I$5:$I$304,MATCH($A44,'Inventario General'!$A$5:$A$304,0))&amp;"","No está en el inventario"))</f>
        <v/>
      </c>
      <c r="E44" s="26"/>
      <c r="F44" s="26"/>
      <c r="G44" s="26"/>
      <c r="H44" s="29"/>
      <c r="I44" s="29"/>
      <c r="J44" s="44"/>
      <c r="K44" s="47"/>
      <c r="L44" s="26"/>
      <c r="M44" s="29"/>
      <c r="N44" s="26"/>
      <c r="O44" s="26"/>
      <c r="P44" s="26"/>
      <c r="Q44" s="26"/>
      <c r="R44" s="29"/>
      <c r="S44" s="26"/>
      <c r="T44" s="44"/>
      <c r="U44" s="26"/>
      <c r="V44" s="26"/>
      <c r="W44" s="27"/>
      <c r="X44" s="26"/>
    </row>
    <row r="45" spans="1:24" x14ac:dyDescent="0.25">
      <c r="A45" s="26"/>
      <c r="B45" s="25" t="str">
        <f>IF($A45="","",IFERROR(INDEX('Inventario General'!$C$5:$C$304,MATCH($A45,'Inventario General'!$A$5:$A$304,0))&amp;"","No está en el inventario"))</f>
        <v/>
      </c>
      <c r="C45" s="25" t="str">
        <f>IF($A45="","",IFERROR(INDEX('Inventario General'!$D$5:$D$304,MATCH($A45,'Inventario General'!$A$5:$A$304,0))&amp;"","No está en el inventario"))</f>
        <v/>
      </c>
      <c r="D45" s="25" t="str">
        <f>IF($A45="","",IFERROR(INDEX('Inventario General'!$I$5:$I$304,MATCH($A45,'Inventario General'!$A$5:$A$304,0))&amp;"","No está en el inventario"))</f>
        <v/>
      </c>
      <c r="E45" s="26"/>
      <c r="F45" s="26"/>
      <c r="G45" s="26"/>
      <c r="H45" s="29"/>
      <c r="I45" s="29"/>
      <c r="J45" s="44"/>
      <c r="K45" s="47"/>
      <c r="L45" s="26"/>
      <c r="M45" s="29"/>
      <c r="N45" s="26"/>
      <c r="O45" s="26"/>
      <c r="P45" s="26"/>
      <c r="Q45" s="26"/>
      <c r="R45" s="29"/>
      <c r="S45" s="26"/>
      <c r="T45" s="44"/>
      <c r="U45" s="26"/>
      <c r="V45" s="26"/>
      <c r="W45" s="27"/>
      <c r="X45" s="26"/>
    </row>
    <row r="46" spans="1:24" x14ac:dyDescent="0.25">
      <c r="A46" s="26"/>
      <c r="B46" s="25" t="str">
        <f>IF($A46="","",IFERROR(INDEX('Inventario General'!$C$5:$C$304,MATCH($A46,'Inventario General'!$A$5:$A$304,0))&amp;"","No está en el inventario"))</f>
        <v/>
      </c>
      <c r="C46" s="25" t="str">
        <f>IF($A46="","",IFERROR(INDEX('Inventario General'!$D$5:$D$304,MATCH($A46,'Inventario General'!$A$5:$A$304,0))&amp;"","No está en el inventario"))</f>
        <v/>
      </c>
      <c r="D46" s="25" t="str">
        <f>IF($A46="","",IFERROR(INDEX('Inventario General'!$I$5:$I$304,MATCH($A46,'Inventario General'!$A$5:$A$304,0))&amp;"","No está en el inventario"))</f>
        <v/>
      </c>
      <c r="E46" s="26"/>
      <c r="F46" s="26"/>
      <c r="G46" s="26"/>
      <c r="H46" s="29"/>
      <c r="I46" s="29"/>
      <c r="J46" s="44"/>
      <c r="K46" s="47"/>
      <c r="L46" s="26"/>
      <c r="M46" s="29"/>
      <c r="N46" s="26"/>
      <c r="O46" s="26"/>
      <c r="P46" s="26"/>
      <c r="Q46" s="26"/>
      <c r="R46" s="29"/>
      <c r="S46" s="26"/>
      <c r="T46" s="44"/>
      <c r="U46" s="26"/>
      <c r="V46" s="26"/>
      <c r="W46" s="27"/>
      <c r="X46" s="26"/>
    </row>
    <row r="47" spans="1:24" x14ac:dyDescent="0.25">
      <c r="A47" s="26"/>
      <c r="B47" s="25" t="str">
        <f>IF($A47="","",IFERROR(INDEX('Inventario General'!$C$5:$C$304,MATCH($A47,'Inventario General'!$A$5:$A$304,0))&amp;"","No está en el inventario"))</f>
        <v/>
      </c>
      <c r="C47" s="25" t="str">
        <f>IF($A47="","",IFERROR(INDEX('Inventario General'!$D$5:$D$304,MATCH($A47,'Inventario General'!$A$5:$A$304,0))&amp;"","No está en el inventario"))</f>
        <v/>
      </c>
      <c r="D47" s="25" t="str">
        <f>IF($A47="","",IFERROR(INDEX('Inventario General'!$I$5:$I$304,MATCH($A47,'Inventario General'!$A$5:$A$304,0))&amp;"","No está en el inventario"))</f>
        <v/>
      </c>
      <c r="E47" s="26"/>
      <c r="F47" s="26"/>
      <c r="G47" s="26"/>
      <c r="H47" s="29"/>
      <c r="I47" s="29"/>
      <c r="J47" s="44"/>
      <c r="K47" s="47"/>
      <c r="L47" s="26"/>
      <c r="M47" s="29"/>
      <c r="N47" s="26"/>
      <c r="O47" s="26"/>
      <c r="P47" s="26"/>
      <c r="Q47" s="26"/>
      <c r="R47" s="29"/>
      <c r="S47" s="26"/>
      <c r="T47" s="44"/>
      <c r="U47" s="26"/>
      <c r="V47" s="26"/>
      <c r="W47" s="27"/>
      <c r="X47" s="26"/>
    </row>
    <row r="48" spans="1:24" x14ac:dyDescent="0.25">
      <c r="A48" s="26"/>
      <c r="B48" s="25" t="str">
        <f>IF($A48="","",IFERROR(INDEX('Inventario General'!$C$5:$C$304,MATCH($A48,'Inventario General'!$A$5:$A$304,0))&amp;"","No está en el inventario"))</f>
        <v/>
      </c>
      <c r="C48" s="25" t="str">
        <f>IF($A48="","",IFERROR(INDEX('Inventario General'!$D$5:$D$304,MATCH($A48,'Inventario General'!$A$5:$A$304,0))&amp;"","No está en el inventario"))</f>
        <v/>
      </c>
      <c r="D48" s="25" t="str">
        <f>IF($A48="","",IFERROR(INDEX('Inventario General'!$I$5:$I$304,MATCH($A48,'Inventario General'!$A$5:$A$304,0))&amp;"","No está en el inventario"))</f>
        <v/>
      </c>
      <c r="E48" s="26"/>
      <c r="F48" s="26"/>
      <c r="G48" s="26"/>
      <c r="H48" s="29"/>
      <c r="I48" s="29"/>
      <c r="J48" s="44"/>
      <c r="K48" s="47"/>
      <c r="L48" s="26"/>
      <c r="M48" s="29"/>
      <c r="N48" s="26"/>
      <c r="O48" s="26"/>
      <c r="P48" s="26"/>
      <c r="Q48" s="26"/>
      <c r="R48" s="29"/>
      <c r="S48" s="26"/>
      <c r="T48" s="44"/>
      <c r="U48" s="26"/>
      <c r="V48" s="26"/>
      <c r="W48" s="27"/>
      <c r="X48" s="26"/>
    </row>
    <row r="49" spans="1:24" x14ac:dyDescent="0.25">
      <c r="A49" s="26"/>
      <c r="B49" s="25" t="str">
        <f>IF($A49="","",IFERROR(INDEX('Inventario General'!$C$5:$C$304,MATCH($A49,'Inventario General'!$A$5:$A$304,0))&amp;"","No está en el inventario"))</f>
        <v/>
      </c>
      <c r="C49" s="25" t="str">
        <f>IF($A49="","",IFERROR(INDEX('Inventario General'!$D$5:$D$304,MATCH($A49,'Inventario General'!$A$5:$A$304,0))&amp;"","No está en el inventario"))</f>
        <v/>
      </c>
      <c r="D49" s="25" t="str">
        <f>IF($A49="","",IFERROR(INDEX('Inventario General'!$I$5:$I$304,MATCH($A49,'Inventario General'!$A$5:$A$304,0))&amp;"","No está en el inventario"))</f>
        <v/>
      </c>
      <c r="E49" s="26"/>
      <c r="F49" s="26"/>
      <c r="G49" s="26"/>
      <c r="H49" s="29"/>
      <c r="I49" s="29"/>
      <c r="J49" s="44"/>
      <c r="K49" s="47"/>
      <c r="L49" s="26"/>
      <c r="M49" s="29"/>
      <c r="N49" s="26"/>
      <c r="O49" s="26"/>
      <c r="P49" s="26"/>
      <c r="Q49" s="26"/>
      <c r="R49" s="29"/>
      <c r="S49" s="26"/>
      <c r="T49" s="44"/>
      <c r="U49" s="26"/>
      <c r="V49" s="26"/>
      <c r="W49" s="27"/>
      <c r="X49" s="26"/>
    </row>
    <row r="50" spans="1:24" x14ac:dyDescent="0.25">
      <c r="A50" s="26"/>
      <c r="B50" s="25" t="str">
        <f>IF($A50="","",IFERROR(INDEX('Inventario General'!$C$5:$C$304,MATCH($A50,'Inventario General'!$A$5:$A$304,0))&amp;"","No está en el inventario"))</f>
        <v/>
      </c>
      <c r="C50" s="25" t="str">
        <f>IF($A50="","",IFERROR(INDEX('Inventario General'!$D$5:$D$304,MATCH($A50,'Inventario General'!$A$5:$A$304,0))&amp;"","No está en el inventario"))</f>
        <v/>
      </c>
      <c r="D50" s="25" t="str">
        <f>IF($A50="","",IFERROR(INDEX('Inventario General'!$I$5:$I$304,MATCH($A50,'Inventario General'!$A$5:$A$304,0))&amp;"","No está en el inventario"))</f>
        <v/>
      </c>
      <c r="E50" s="26"/>
      <c r="F50" s="26"/>
      <c r="G50" s="26"/>
      <c r="H50" s="29"/>
      <c r="I50" s="29"/>
      <c r="J50" s="44"/>
      <c r="K50" s="47"/>
      <c r="L50" s="26"/>
      <c r="M50" s="29"/>
      <c r="N50" s="26"/>
      <c r="O50" s="26"/>
      <c r="P50" s="26"/>
      <c r="Q50" s="26"/>
      <c r="R50" s="29"/>
      <c r="S50" s="26"/>
      <c r="T50" s="44"/>
      <c r="U50" s="26"/>
      <c r="V50" s="26"/>
      <c r="W50" s="27"/>
      <c r="X50" s="26"/>
    </row>
    <row r="51" spans="1:24" x14ac:dyDescent="0.25">
      <c r="A51" s="26"/>
      <c r="B51" s="25" t="str">
        <f>IF($A51="","",IFERROR(INDEX('Inventario General'!$C$5:$C$304,MATCH($A51,'Inventario General'!$A$5:$A$304,0))&amp;"","No está en el inventario"))</f>
        <v/>
      </c>
      <c r="C51" s="25" t="str">
        <f>IF($A51="","",IFERROR(INDEX('Inventario General'!$D$5:$D$304,MATCH($A51,'Inventario General'!$A$5:$A$304,0))&amp;"","No está en el inventario"))</f>
        <v/>
      </c>
      <c r="D51" s="25" t="str">
        <f>IF($A51="","",IFERROR(INDEX('Inventario General'!$I$5:$I$304,MATCH($A51,'Inventario General'!$A$5:$A$304,0))&amp;"","No está en el inventario"))</f>
        <v/>
      </c>
      <c r="E51" s="26"/>
      <c r="F51" s="26"/>
      <c r="G51" s="26"/>
      <c r="H51" s="29"/>
      <c r="I51" s="29"/>
      <c r="J51" s="44"/>
      <c r="K51" s="47"/>
      <c r="L51" s="26"/>
      <c r="M51" s="29"/>
      <c r="N51" s="26"/>
      <c r="O51" s="26"/>
      <c r="P51" s="26"/>
      <c r="Q51" s="26"/>
      <c r="R51" s="29"/>
      <c r="S51" s="26"/>
      <c r="T51" s="44"/>
      <c r="U51" s="26"/>
      <c r="V51" s="26"/>
      <c r="W51" s="27"/>
      <c r="X51" s="26"/>
    </row>
    <row r="52" spans="1:24" x14ac:dyDescent="0.25">
      <c r="A52" s="26"/>
      <c r="B52" s="25" t="str">
        <f>IF($A52="","",IFERROR(INDEX('Inventario General'!$C$5:$C$304,MATCH($A52,'Inventario General'!$A$5:$A$304,0))&amp;"","No está en el inventario"))</f>
        <v/>
      </c>
      <c r="C52" s="25" t="str">
        <f>IF($A52="","",IFERROR(INDEX('Inventario General'!$D$5:$D$304,MATCH($A52,'Inventario General'!$A$5:$A$304,0))&amp;"","No está en el inventario"))</f>
        <v/>
      </c>
      <c r="D52" s="25" t="str">
        <f>IF($A52="","",IFERROR(INDEX('Inventario General'!$I$5:$I$304,MATCH($A52,'Inventario General'!$A$5:$A$304,0))&amp;"","No está en el inventario"))</f>
        <v/>
      </c>
      <c r="E52" s="26"/>
      <c r="F52" s="26"/>
      <c r="G52" s="26"/>
      <c r="H52" s="29"/>
      <c r="I52" s="29"/>
      <c r="J52" s="44"/>
      <c r="K52" s="47"/>
      <c r="L52" s="26"/>
      <c r="M52" s="29"/>
      <c r="N52" s="26"/>
      <c r="O52" s="26"/>
      <c r="P52" s="26"/>
      <c r="Q52" s="26"/>
      <c r="R52" s="29"/>
      <c r="S52" s="26"/>
      <c r="T52" s="44"/>
      <c r="U52" s="26"/>
      <c r="V52" s="26"/>
      <c r="W52" s="27"/>
      <c r="X52" s="26"/>
    </row>
    <row r="53" spans="1:24" x14ac:dyDescent="0.25">
      <c r="A53" s="26"/>
      <c r="B53" s="25" t="str">
        <f>IF($A53="","",IFERROR(INDEX('Inventario General'!$C$5:$C$304,MATCH($A53,'Inventario General'!$A$5:$A$304,0))&amp;"","No está en el inventario"))</f>
        <v/>
      </c>
      <c r="C53" s="25" t="str">
        <f>IF($A53="","",IFERROR(INDEX('Inventario General'!$D$5:$D$304,MATCH($A53,'Inventario General'!$A$5:$A$304,0))&amp;"","No está en el inventario"))</f>
        <v/>
      </c>
      <c r="D53" s="25" t="str">
        <f>IF($A53="","",IFERROR(INDEX('Inventario General'!$I$5:$I$304,MATCH($A53,'Inventario General'!$A$5:$A$304,0))&amp;"","No está en el inventario"))</f>
        <v/>
      </c>
      <c r="E53" s="26"/>
      <c r="F53" s="26"/>
      <c r="G53" s="26"/>
      <c r="H53" s="29"/>
      <c r="I53" s="29"/>
      <c r="J53" s="44"/>
      <c r="K53" s="47"/>
      <c r="L53" s="26"/>
      <c r="M53" s="29"/>
      <c r="N53" s="26"/>
      <c r="O53" s="26"/>
      <c r="P53" s="26"/>
      <c r="Q53" s="26"/>
      <c r="R53" s="29"/>
      <c r="S53" s="26"/>
      <c r="T53" s="44"/>
      <c r="U53" s="26"/>
      <c r="V53" s="26"/>
      <c r="W53" s="27"/>
      <c r="X53" s="26"/>
    </row>
    <row r="54" spans="1:24" x14ac:dyDescent="0.25">
      <c r="A54" s="26"/>
      <c r="B54" s="25" t="str">
        <f>IF($A54="","",IFERROR(INDEX('Inventario General'!$C$5:$C$304,MATCH($A54,'Inventario General'!$A$5:$A$304,0))&amp;"","No está en el inventario"))</f>
        <v/>
      </c>
      <c r="C54" s="25" t="str">
        <f>IF($A54="","",IFERROR(INDEX('Inventario General'!$D$5:$D$304,MATCH($A54,'Inventario General'!$A$5:$A$304,0))&amp;"","No está en el inventario"))</f>
        <v/>
      </c>
      <c r="D54" s="25" t="str">
        <f>IF($A54="","",IFERROR(INDEX('Inventario General'!$I$5:$I$304,MATCH($A54,'Inventario General'!$A$5:$A$304,0))&amp;"","No está en el inventario"))</f>
        <v/>
      </c>
      <c r="E54" s="26"/>
      <c r="F54" s="26"/>
      <c r="G54" s="26"/>
      <c r="H54" s="29"/>
      <c r="I54" s="29"/>
      <c r="J54" s="44"/>
      <c r="K54" s="47"/>
      <c r="L54" s="26"/>
      <c r="M54" s="29"/>
      <c r="N54" s="26"/>
      <c r="O54" s="26"/>
      <c r="P54" s="26"/>
      <c r="Q54" s="26"/>
      <c r="R54" s="29"/>
      <c r="S54" s="26"/>
      <c r="T54" s="44"/>
      <c r="U54" s="26"/>
      <c r="V54" s="26"/>
      <c r="W54" s="27"/>
      <c r="X54" s="26"/>
    </row>
    <row r="55" spans="1:24" x14ac:dyDescent="0.25">
      <c r="A55" s="26"/>
      <c r="B55" s="25" t="str">
        <f>IF($A55="","",IFERROR(INDEX('Inventario General'!$C$5:$C$304,MATCH($A55,'Inventario General'!$A$5:$A$304,0))&amp;"","No está en el inventario"))</f>
        <v/>
      </c>
      <c r="C55" s="25" t="str">
        <f>IF($A55="","",IFERROR(INDEX('Inventario General'!$D$5:$D$304,MATCH($A55,'Inventario General'!$A$5:$A$304,0))&amp;"","No está en el inventario"))</f>
        <v/>
      </c>
      <c r="D55" s="25" t="str">
        <f>IF($A55="","",IFERROR(INDEX('Inventario General'!$I$5:$I$304,MATCH($A55,'Inventario General'!$A$5:$A$304,0))&amp;"","No está en el inventario"))</f>
        <v/>
      </c>
      <c r="E55" s="26"/>
      <c r="F55" s="26"/>
      <c r="G55" s="26"/>
      <c r="H55" s="29"/>
      <c r="I55" s="29"/>
      <c r="J55" s="44"/>
      <c r="K55" s="47"/>
      <c r="L55" s="26"/>
      <c r="M55" s="29"/>
      <c r="N55" s="26"/>
      <c r="O55" s="26"/>
      <c r="P55" s="26"/>
      <c r="Q55" s="26"/>
      <c r="R55" s="29"/>
      <c r="S55" s="26"/>
      <c r="T55" s="44"/>
      <c r="U55" s="26"/>
      <c r="V55" s="26"/>
      <c r="W55" s="27"/>
      <c r="X55" s="26"/>
    </row>
    <row r="56" spans="1:24" x14ac:dyDescent="0.25">
      <c r="A56" s="26"/>
      <c r="B56" s="25" t="str">
        <f>IF($A56="","",IFERROR(INDEX('Inventario General'!$C$5:$C$304,MATCH($A56,'Inventario General'!$A$5:$A$304,0))&amp;"","No está en el inventario"))</f>
        <v/>
      </c>
      <c r="C56" s="25" t="str">
        <f>IF($A56="","",IFERROR(INDEX('Inventario General'!$D$5:$D$304,MATCH($A56,'Inventario General'!$A$5:$A$304,0))&amp;"","No está en el inventario"))</f>
        <v/>
      </c>
      <c r="D56" s="25" t="str">
        <f>IF($A56="","",IFERROR(INDEX('Inventario General'!$I$5:$I$304,MATCH($A56,'Inventario General'!$A$5:$A$304,0))&amp;"","No está en el inventario"))</f>
        <v/>
      </c>
      <c r="E56" s="26"/>
      <c r="F56" s="26"/>
      <c r="G56" s="26"/>
      <c r="H56" s="29"/>
      <c r="I56" s="29"/>
      <c r="J56" s="44"/>
      <c r="K56" s="47"/>
      <c r="L56" s="26"/>
      <c r="M56" s="29"/>
      <c r="N56" s="26"/>
      <c r="O56" s="26"/>
      <c r="P56" s="26"/>
      <c r="Q56" s="26"/>
      <c r="R56" s="29"/>
      <c r="S56" s="26"/>
      <c r="T56" s="44"/>
      <c r="U56" s="26"/>
      <c r="V56" s="26"/>
      <c r="W56" s="27"/>
      <c r="X56" s="26"/>
    </row>
    <row r="57" spans="1:24" x14ac:dyDescent="0.25">
      <c r="A57" s="26"/>
      <c r="B57" s="25" t="str">
        <f>IF($A57="","",IFERROR(INDEX('Inventario General'!$C$5:$C$304,MATCH($A57,'Inventario General'!$A$5:$A$304,0))&amp;"","No está en el inventario"))</f>
        <v/>
      </c>
      <c r="C57" s="25" t="str">
        <f>IF($A57="","",IFERROR(INDEX('Inventario General'!$D$5:$D$304,MATCH($A57,'Inventario General'!$A$5:$A$304,0))&amp;"","No está en el inventario"))</f>
        <v/>
      </c>
      <c r="D57" s="25" t="str">
        <f>IF($A57="","",IFERROR(INDEX('Inventario General'!$I$5:$I$304,MATCH($A57,'Inventario General'!$A$5:$A$304,0))&amp;"","No está en el inventario"))</f>
        <v/>
      </c>
      <c r="E57" s="26"/>
      <c r="F57" s="26"/>
      <c r="G57" s="26"/>
      <c r="H57" s="29"/>
      <c r="I57" s="29"/>
      <c r="J57" s="44"/>
      <c r="K57" s="47"/>
      <c r="L57" s="26"/>
      <c r="M57" s="29"/>
      <c r="N57" s="26"/>
      <c r="O57" s="26"/>
      <c r="P57" s="26"/>
      <c r="Q57" s="26"/>
      <c r="R57" s="29"/>
      <c r="S57" s="26"/>
      <c r="T57" s="44"/>
      <c r="U57" s="26"/>
      <c r="V57" s="26"/>
      <c r="W57" s="27"/>
      <c r="X57" s="26"/>
    </row>
    <row r="58" spans="1:24" x14ac:dyDescent="0.25">
      <c r="A58" s="26"/>
      <c r="B58" s="25" t="str">
        <f>IF($A58="","",IFERROR(INDEX('Inventario General'!$C$5:$C$304,MATCH($A58,'Inventario General'!$A$5:$A$304,0))&amp;"","No está en el inventario"))</f>
        <v/>
      </c>
      <c r="C58" s="25" t="str">
        <f>IF($A58="","",IFERROR(INDEX('Inventario General'!$D$5:$D$304,MATCH($A58,'Inventario General'!$A$5:$A$304,0))&amp;"","No está en el inventario"))</f>
        <v/>
      </c>
      <c r="D58" s="25" t="str">
        <f>IF($A58="","",IFERROR(INDEX('Inventario General'!$I$5:$I$304,MATCH($A58,'Inventario General'!$A$5:$A$304,0))&amp;"","No está en el inventario"))</f>
        <v/>
      </c>
      <c r="E58" s="26"/>
      <c r="F58" s="26"/>
      <c r="G58" s="26"/>
      <c r="H58" s="29"/>
      <c r="I58" s="29"/>
      <c r="J58" s="44"/>
      <c r="K58" s="47"/>
      <c r="L58" s="26"/>
      <c r="M58" s="29"/>
      <c r="N58" s="26"/>
      <c r="O58" s="26"/>
      <c r="P58" s="26"/>
      <c r="Q58" s="26"/>
      <c r="R58" s="29"/>
      <c r="S58" s="26"/>
      <c r="T58" s="44"/>
      <c r="U58" s="26"/>
      <c r="V58" s="26"/>
      <c r="W58" s="27"/>
      <c r="X58" s="26"/>
    </row>
    <row r="59" spans="1:24" x14ac:dyDescent="0.25">
      <c r="A59" s="26"/>
      <c r="B59" s="25" t="str">
        <f>IF($A59="","",IFERROR(INDEX('Inventario General'!$C$5:$C$304,MATCH($A59,'Inventario General'!$A$5:$A$304,0))&amp;"","No está en el inventario"))</f>
        <v/>
      </c>
      <c r="C59" s="25" t="str">
        <f>IF($A59="","",IFERROR(INDEX('Inventario General'!$D$5:$D$304,MATCH($A59,'Inventario General'!$A$5:$A$304,0))&amp;"","No está en el inventario"))</f>
        <v/>
      </c>
      <c r="D59" s="25" t="str">
        <f>IF($A59="","",IFERROR(INDEX('Inventario General'!$I$5:$I$304,MATCH($A59,'Inventario General'!$A$5:$A$304,0))&amp;"","No está en el inventario"))</f>
        <v/>
      </c>
      <c r="E59" s="26"/>
      <c r="F59" s="26"/>
      <c r="G59" s="26"/>
      <c r="H59" s="29"/>
      <c r="I59" s="29"/>
      <c r="J59" s="44"/>
      <c r="K59" s="47"/>
      <c r="L59" s="26"/>
      <c r="M59" s="29"/>
      <c r="N59" s="26"/>
      <c r="O59" s="26"/>
      <c r="P59" s="26"/>
      <c r="Q59" s="26"/>
      <c r="R59" s="29"/>
      <c r="S59" s="26"/>
      <c r="T59" s="44"/>
      <c r="U59" s="26"/>
      <c r="V59" s="26"/>
      <c r="W59" s="27"/>
      <c r="X59" s="26"/>
    </row>
    <row r="60" spans="1:24" x14ac:dyDescent="0.25">
      <c r="A60" s="26"/>
      <c r="B60" s="25" t="str">
        <f>IF($A60="","",IFERROR(INDEX('Inventario General'!$C$5:$C$304,MATCH($A60,'Inventario General'!$A$5:$A$304,0))&amp;"","No está en el inventario"))</f>
        <v/>
      </c>
      <c r="C60" s="25" t="str">
        <f>IF($A60="","",IFERROR(INDEX('Inventario General'!$D$5:$D$304,MATCH($A60,'Inventario General'!$A$5:$A$304,0))&amp;"","No está en el inventario"))</f>
        <v/>
      </c>
      <c r="D60" s="25" t="str">
        <f>IF($A60="","",IFERROR(INDEX('Inventario General'!$I$5:$I$304,MATCH($A60,'Inventario General'!$A$5:$A$304,0))&amp;"","No está en el inventario"))</f>
        <v/>
      </c>
      <c r="E60" s="26"/>
      <c r="F60" s="26"/>
      <c r="G60" s="26"/>
      <c r="H60" s="29"/>
      <c r="I60" s="29"/>
      <c r="J60" s="44"/>
      <c r="K60" s="47"/>
      <c r="L60" s="26"/>
      <c r="M60" s="29"/>
      <c r="N60" s="26"/>
      <c r="O60" s="26"/>
      <c r="P60" s="26"/>
      <c r="Q60" s="26"/>
      <c r="R60" s="29"/>
      <c r="S60" s="26"/>
      <c r="T60" s="44"/>
      <c r="U60" s="26"/>
      <c r="V60" s="26"/>
      <c r="W60" s="27"/>
      <c r="X60" s="26"/>
    </row>
    <row r="61" spans="1:24" x14ac:dyDescent="0.25">
      <c r="A61" s="26"/>
      <c r="B61" s="25" t="str">
        <f>IF($A61="","",IFERROR(INDEX('Inventario General'!$C$5:$C$304,MATCH($A61,'Inventario General'!$A$5:$A$304,0))&amp;"","No está en el inventario"))</f>
        <v/>
      </c>
      <c r="C61" s="25" t="str">
        <f>IF($A61="","",IFERROR(INDEX('Inventario General'!$D$5:$D$304,MATCH($A61,'Inventario General'!$A$5:$A$304,0))&amp;"","No está en el inventario"))</f>
        <v/>
      </c>
      <c r="D61" s="25" t="str">
        <f>IF($A61="","",IFERROR(INDEX('Inventario General'!$I$5:$I$304,MATCH($A61,'Inventario General'!$A$5:$A$304,0))&amp;"","No está en el inventario"))</f>
        <v/>
      </c>
      <c r="E61" s="26"/>
      <c r="F61" s="26"/>
      <c r="G61" s="26"/>
      <c r="H61" s="29"/>
      <c r="I61" s="29"/>
      <c r="J61" s="44"/>
      <c r="K61" s="47"/>
      <c r="L61" s="26"/>
      <c r="M61" s="29"/>
      <c r="N61" s="26"/>
      <c r="O61" s="26"/>
      <c r="P61" s="26"/>
      <c r="Q61" s="26"/>
      <c r="R61" s="29"/>
      <c r="S61" s="26"/>
      <c r="T61" s="44"/>
      <c r="U61" s="26"/>
      <c r="V61" s="26"/>
      <c r="W61" s="27"/>
      <c r="X61" s="26"/>
    </row>
    <row r="62" spans="1:24" x14ac:dyDescent="0.25">
      <c r="A62" s="26"/>
      <c r="B62" s="25" t="str">
        <f>IF($A62="","",IFERROR(INDEX('Inventario General'!$C$5:$C$304,MATCH($A62,'Inventario General'!$A$5:$A$304,0))&amp;"","No está en el inventario"))</f>
        <v/>
      </c>
      <c r="C62" s="25" t="str">
        <f>IF($A62="","",IFERROR(INDEX('Inventario General'!$D$5:$D$304,MATCH($A62,'Inventario General'!$A$5:$A$304,0))&amp;"","No está en el inventario"))</f>
        <v/>
      </c>
      <c r="D62" s="25" t="str">
        <f>IF($A62="","",IFERROR(INDEX('Inventario General'!$I$5:$I$304,MATCH($A62,'Inventario General'!$A$5:$A$304,0))&amp;"","No está en el inventario"))</f>
        <v/>
      </c>
      <c r="E62" s="26"/>
      <c r="F62" s="26"/>
      <c r="G62" s="26"/>
      <c r="H62" s="29"/>
      <c r="I62" s="29"/>
      <c r="J62" s="44"/>
      <c r="K62" s="47"/>
      <c r="L62" s="26"/>
      <c r="M62" s="29"/>
      <c r="N62" s="26"/>
      <c r="O62" s="26"/>
      <c r="P62" s="26"/>
      <c r="Q62" s="26"/>
      <c r="R62" s="29"/>
      <c r="S62" s="26"/>
      <c r="T62" s="44"/>
      <c r="U62" s="26"/>
      <c r="V62" s="26"/>
      <c r="W62" s="27"/>
      <c r="X62" s="26"/>
    </row>
    <row r="63" spans="1:24" x14ac:dyDescent="0.25">
      <c r="A63" s="26"/>
      <c r="B63" s="25" t="str">
        <f>IF($A63="","",IFERROR(INDEX('Inventario General'!$C$5:$C$304,MATCH($A63,'Inventario General'!$A$5:$A$304,0))&amp;"","No está en el inventario"))</f>
        <v/>
      </c>
      <c r="C63" s="25" t="str">
        <f>IF($A63="","",IFERROR(INDEX('Inventario General'!$D$5:$D$304,MATCH($A63,'Inventario General'!$A$5:$A$304,0))&amp;"","No está en el inventario"))</f>
        <v/>
      </c>
      <c r="D63" s="25" t="str">
        <f>IF($A63="","",IFERROR(INDEX('Inventario General'!$I$5:$I$304,MATCH($A63,'Inventario General'!$A$5:$A$304,0))&amp;"","No está en el inventario"))</f>
        <v/>
      </c>
      <c r="E63" s="26"/>
      <c r="F63" s="26"/>
      <c r="G63" s="26"/>
      <c r="H63" s="29"/>
      <c r="I63" s="29"/>
      <c r="J63" s="44"/>
      <c r="K63" s="47"/>
      <c r="L63" s="26"/>
      <c r="M63" s="29"/>
      <c r="N63" s="26"/>
      <c r="O63" s="26"/>
      <c r="P63" s="26"/>
      <c r="Q63" s="26"/>
      <c r="R63" s="29"/>
      <c r="S63" s="26"/>
      <c r="T63" s="44"/>
      <c r="U63" s="26"/>
      <c r="V63" s="26"/>
      <c r="W63" s="27"/>
      <c r="X63" s="26"/>
    </row>
    <row r="64" spans="1:24" x14ac:dyDescent="0.25">
      <c r="A64" s="26"/>
      <c r="B64" s="25" t="str">
        <f>IF($A64="","",IFERROR(INDEX('Inventario General'!$C$5:$C$304,MATCH($A64,'Inventario General'!$A$5:$A$304,0))&amp;"","No está en el inventario"))</f>
        <v/>
      </c>
      <c r="C64" s="25" t="str">
        <f>IF($A64="","",IFERROR(INDEX('Inventario General'!$D$5:$D$304,MATCH($A64,'Inventario General'!$A$5:$A$304,0))&amp;"","No está en el inventario"))</f>
        <v/>
      </c>
      <c r="D64" s="25" t="str">
        <f>IF($A64="","",IFERROR(INDEX('Inventario General'!$I$5:$I$304,MATCH($A64,'Inventario General'!$A$5:$A$304,0))&amp;"","No está en el inventario"))</f>
        <v/>
      </c>
      <c r="E64" s="26"/>
      <c r="F64" s="26"/>
      <c r="G64" s="26"/>
      <c r="H64" s="29"/>
      <c r="I64" s="29"/>
      <c r="J64" s="44"/>
      <c r="K64" s="47"/>
      <c r="L64" s="26"/>
      <c r="M64" s="29"/>
      <c r="N64" s="26"/>
      <c r="O64" s="26"/>
      <c r="P64" s="26"/>
      <c r="Q64" s="26"/>
      <c r="R64" s="29"/>
      <c r="S64" s="26"/>
      <c r="T64" s="44"/>
      <c r="U64" s="26"/>
      <c r="V64" s="26"/>
      <c r="W64" s="27"/>
      <c r="X64" s="26"/>
    </row>
    <row r="65" spans="1:24" x14ac:dyDescent="0.25">
      <c r="A65" s="26"/>
      <c r="B65" s="25" t="str">
        <f>IF($A65="","",IFERROR(INDEX('Inventario General'!$C$5:$C$304,MATCH($A65,'Inventario General'!$A$5:$A$304,0))&amp;"","No está en el inventario"))</f>
        <v/>
      </c>
      <c r="C65" s="25" t="str">
        <f>IF($A65="","",IFERROR(INDEX('Inventario General'!$D$5:$D$304,MATCH($A65,'Inventario General'!$A$5:$A$304,0))&amp;"","No está en el inventario"))</f>
        <v/>
      </c>
      <c r="D65" s="25" t="str">
        <f>IF($A65="","",IFERROR(INDEX('Inventario General'!$I$5:$I$304,MATCH($A65,'Inventario General'!$A$5:$A$304,0))&amp;"","No está en el inventario"))</f>
        <v/>
      </c>
      <c r="E65" s="26"/>
      <c r="F65" s="26"/>
      <c r="G65" s="26"/>
      <c r="H65" s="29"/>
      <c r="I65" s="29"/>
      <c r="J65" s="44"/>
      <c r="K65" s="47"/>
      <c r="L65" s="26"/>
      <c r="M65" s="29"/>
      <c r="N65" s="26"/>
      <c r="O65" s="26"/>
      <c r="P65" s="26"/>
      <c r="Q65" s="26"/>
      <c r="R65" s="29"/>
      <c r="S65" s="26"/>
      <c r="T65" s="44"/>
      <c r="U65" s="26"/>
      <c r="V65" s="26"/>
      <c r="W65" s="27"/>
      <c r="X65" s="26"/>
    </row>
    <row r="66" spans="1:24" x14ac:dyDescent="0.25">
      <c r="A66" s="26"/>
      <c r="B66" s="25" t="str">
        <f>IF($A66="","",IFERROR(INDEX('Inventario General'!$C$5:$C$304,MATCH($A66,'Inventario General'!$A$5:$A$304,0))&amp;"","No está en el inventario"))</f>
        <v/>
      </c>
      <c r="C66" s="25" t="str">
        <f>IF($A66="","",IFERROR(INDEX('Inventario General'!$D$5:$D$304,MATCH($A66,'Inventario General'!$A$5:$A$304,0))&amp;"","No está en el inventario"))</f>
        <v/>
      </c>
      <c r="D66" s="25" t="str">
        <f>IF($A66="","",IFERROR(INDEX('Inventario General'!$I$5:$I$304,MATCH($A66,'Inventario General'!$A$5:$A$304,0))&amp;"","No está en el inventario"))</f>
        <v/>
      </c>
      <c r="E66" s="26"/>
      <c r="F66" s="26"/>
      <c r="G66" s="26"/>
      <c r="H66" s="29"/>
      <c r="I66" s="29"/>
      <c r="J66" s="44"/>
      <c r="K66" s="47"/>
      <c r="L66" s="26"/>
      <c r="M66" s="29"/>
      <c r="N66" s="26"/>
      <c r="O66" s="26"/>
      <c r="P66" s="26"/>
      <c r="Q66" s="26"/>
      <c r="R66" s="29"/>
      <c r="S66" s="26"/>
      <c r="T66" s="44"/>
      <c r="U66" s="26"/>
      <c r="V66" s="26"/>
      <c r="W66" s="27"/>
      <c r="X66" s="26"/>
    </row>
    <row r="67" spans="1:24" x14ac:dyDescent="0.25">
      <c r="A67" s="26"/>
      <c r="B67" s="25" t="str">
        <f>IF($A67="","",IFERROR(INDEX('Inventario General'!$C$5:$C$304,MATCH($A67,'Inventario General'!$A$5:$A$304,0))&amp;"","No está en el inventario"))</f>
        <v/>
      </c>
      <c r="C67" s="25" t="str">
        <f>IF($A67="","",IFERROR(INDEX('Inventario General'!$D$5:$D$304,MATCH($A67,'Inventario General'!$A$5:$A$304,0))&amp;"","No está en el inventario"))</f>
        <v/>
      </c>
      <c r="D67" s="25" t="str">
        <f>IF($A67="","",IFERROR(INDEX('Inventario General'!$I$5:$I$304,MATCH($A67,'Inventario General'!$A$5:$A$304,0))&amp;"","No está en el inventario"))</f>
        <v/>
      </c>
      <c r="E67" s="26"/>
      <c r="F67" s="26"/>
      <c r="G67" s="26"/>
      <c r="H67" s="29"/>
      <c r="I67" s="29"/>
      <c r="J67" s="44"/>
      <c r="K67" s="47"/>
      <c r="L67" s="26"/>
      <c r="M67" s="29"/>
      <c r="N67" s="26"/>
      <c r="O67" s="26"/>
      <c r="P67" s="26"/>
      <c r="Q67" s="26"/>
      <c r="R67" s="29"/>
      <c r="S67" s="26"/>
      <c r="T67" s="44"/>
      <c r="U67" s="26"/>
      <c r="V67" s="26"/>
      <c r="W67" s="27"/>
      <c r="X67" s="26"/>
    </row>
    <row r="68" spans="1:24" x14ac:dyDescent="0.25">
      <c r="A68" s="26"/>
      <c r="B68" s="25" t="str">
        <f>IF($A68="","",IFERROR(INDEX('Inventario General'!$C$5:$C$304,MATCH($A68,'Inventario General'!$A$5:$A$304,0))&amp;"","No está en el inventario"))</f>
        <v/>
      </c>
      <c r="C68" s="25" t="str">
        <f>IF($A68="","",IFERROR(INDEX('Inventario General'!$D$5:$D$304,MATCH($A68,'Inventario General'!$A$5:$A$304,0))&amp;"","No está en el inventario"))</f>
        <v/>
      </c>
      <c r="D68" s="25" t="str">
        <f>IF($A68="","",IFERROR(INDEX('Inventario General'!$I$5:$I$304,MATCH($A68,'Inventario General'!$A$5:$A$304,0))&amp;"","No está en el inventario"))</f>
        <v/>
      </c>
      <c r="E68" s="26"/>
      <c r="F68" s="26"/>
      <c r="G68" s="26"/>
      <c r="H68" s="29"/>
      <c r="I68" s="29"/>
      <c r="J68" s="44"/>
      <c r="K68" s="47"/>
      <c r="L68" s="26"/>
      <c r="M68" s="29"/>
      <c r="N68" s="26"/>
      <c r="O68" s="26"/>
      <c r="P68" s="26"/>
      <c r="Q68" s="26"/>
      <c r="R68" s="29"/>
      <c r="S68" s="26"/>
      <c r="T68" s="44"/>
      <c r="U68" s="26"/>
      <c r="V68" s="26"/>
      <c r="W68" s="27"/>
      <c r="X68" s="26"/>
    </row>
    <row r="69" spans="1:24" x14ac:dyDescent="0.25">
      <c r="A69" s="26"/>
      <c r="B69" s="25" t="str">
        <f>IF($A69="","",IFERROR(INDEX('Inventario General'!$C$5:$C$304,MATCH($A69,'Inventario General'!$A$5:$A$304,0))&amp;"","No está en el inventario"))</f>
        <v/>
      </c>
      <c r="C69" s="25" t="str">
        <f>IF($A69="","",IFERROR(INDEX('Inventario General'!$D$5:$D$304,MATCH($A69,'Inventario General'!$A$5:$A$304,0))&amp;"","No está en el inventario"))</f>
        <v/>
      </c>
      <c r="D69" s="25" t="str">
        <f>IF($A69="","",IFERROR(INDEX('Inventario General'!$I$5:$I$304,MATCH($A69,'Inventario General'!$A$5:$A$304,0))&amp;"","No está en el inventario"))</f>
        <v/>
      </c>
      <c r="E69" s="26"/>
      <c r="F69" s="26"/>
      <c r="G69" s="26"/>
      <c r="H69" s="29"/>
      <c r="I69" s="29"/>
      <c r="J69" s="44"/>
      <c r="K69" s="47"/>
      <c r="L69" s="26"/>
      <c r="M69" s="29"/>
      <c r="N69" s="26"/>
      <c r="O69" s="26"/>
      <c r="P69" s="26"/>
      <c r="Q69" s="26"/>
      <c r="R69" s="29"/>
      <c r="S69" s="26"/>
      <c r="T69" s="44"/>
      <c r="U69" s="26"/>
      <c r="V69" s="26"/>
      <c r="W69" s="27"/>
      <c r="X69" s="26"/>
    </row>
    <row r="70" spans="1:24" x14ac:dyDescent="0.25">
      <c r="A70" s="26"/>
      <c r="B70" s="25" t="str">
        <f>IF($A70="","",IFERROR(INDEX('Inventario General'!$C$5:$C$304,MATCH($A70,'Inventario General'!$A$5:$A$304,0))&amp;"","No está en el inventario"))</f>
        <v/>
      </c>
      <c r="C70" s="25" t="str">
        <f>IF($A70="","",IFERROR(INDEX('Inventario General'!$D$5:$D$304,MATCH($A70,'Inventario General'!$A$5:$A$304,0))&amp;"","No está en el inventario"))</f>
        <v/>
      </c>
      <c r="D70" s="25" t="str">
        <f>IF($A70="","",IFERROR(INDEX('Inventario General'!$I$5:$I$304,MATCH($A70,'Inventario General'!$A$5:$A$304,0))&amp;"","No está en el inventario"))</f>
        <v/>
      </c>
      <c r="E70" s="26"/>
      <c r="F70" s="26"/>
      <c r="G70" s="26"/>
      <c r="H70" s="29"/>
      <c r="I70" s="29"/>
      <c r="J70" s="44"/>
      <c r="K70" s="47"/>
      <c r="L70" s="26"/>
      <c r="M70" s="29"/>
      <c r="N70" s="26"/>
      <c r="O70" s="26"/>
      <c r="P70" s="26"/>
      <c r="Q70" s="26"/>
      <c r="R70" s="29"/>
      <c r="S70" s="26"/>
      <c r="T70" s="44"/>
      <c r="U70" s="26"/>
      <c r="V70" s="26"/>
      <c r="W70" s="27"/>
      <c r="X70" s="26"/>
    </row>
    <row r="71" spans="1:24" x14ac:dyDescent="0.25">
      <c r="A71" s="26"/>
      <c r="B71" s="25" t="str">
        <f>IF($A71="","",IFERROR(INDEX('Inventario General'!$C$5:$C$304,MATCH($A71,'Inventario General'!$A$5:$A$304,0))&amp;"","No está en el inventario"))</f>
        <v/>
      </c>
      <c r="C71" s="25" t="str">
        <f>IF($A71="","",IFERROR(INDEX('Inventario General'!$D$5:$D$304,MATCH($A71,'Inventario General'!$A$5:$A$304,0))&amp;"","No está en el inventario"))</f>
        <v/>
      </c>
      <c r="D71" s="25" t="str">
        <f>IF($A71="","",IFERROR(INDEX('Inventario General'!$I$5:$I$304,MATCH($A71,'Inventario General'!$A$5:$A$304,0))&amp;"","No está en el inventario"))</f>
        <v/>
      </c>
      <c r="E71" s="26"/>
      <c r="F71" s="26"/>
      <c r="G71" s="26"/>
      <c r="H71" s="29"/>
      <c r="I71" s="29"/>
      <c r="J71" s="44"/>
      <c r="K71" s="47"/>
      <c r="L71" s="26"/>
      <c r="M71" s="29"/>
      <c r="N71" s="26"/>
      <c r="O71" s="26"/>
      <c r="P71" s="26"/>
      <c r="Q71" s="26"/>
      <c r="R71" s="29"/>
      <c r="S71" s="26"/>
      <c r="T71" s="44"/>
      <c r="U71" s="26"/>
      <c r="V71" s="26"/>
      <c r="W71" s="27"/>
      <c r="X71" s="26"/>
    </row>
    <row r="72" spans="1:24" x14ac:dyDescent="0.25">
      <c r="A72" s="26"/>
      <c r="B72" s="25" t="str">
        <f>IF($A72="","",IFERROR(INDEX('Inventario General'!$C$5:$C$304,MATCH($A72,'Inventario General'!$A$5:$A$304,0))&amp;"","No está en el inventario"))</f>
        <v/>
      </c>
      <c r="C72" s="25" t="str">
        <f>IF($A72="","",IFERROR(INDEX('Inventario General'!$D$5:$D$304,MATCH($A72,'Inventario General'!$A$5:$A$304,0))&amp;"","No está en el inventario"))</f>
        <v/>
      </c>
      <c r="D72" s="25" t="str">
        <f>IF($A72="","",IFERROR(INDEX('Inventario General'!$I$5:$I$304,MATCH($A72,'Inventario General'!$A$5:$A$304,0))&amp;"","No está en el inventario"))</f>
        <v/>
      </c>
      <c r="E72" s="26"/>
      <c r="F72" s="26"/>
      <c r="G72" s="26"/>
      <c r="H72" s="29"/>
      <c r="I72" s="29"/>
      <c r="J72" s="44"/>
      <c r="K72" s="47"/>
      <c r="L72" s="26"/>
      <c r="M72" s="29"/>
      <c r="N72" s="26"/>
      <c r="O72" s="26"/>
      <c r="P72" s="26"/>
      <c r="Q72" s="26"/>
      <c r="R72" s="29"/>
      <c r="S72" s="26"/>
      <c r="T72" s="44"/>
      <c r="U72" s="26"/>
      <c r="V72" s="26"/>
      <c r="W72" s="27"/>
      <c r="X72" s="26"/>
    </row>
    <row r="73" spans="1:24" x14ac:dyDescent="0.25">
      <c r="A73" s="26"/>
      <c r="B73" s="25" t="str">
        <f>IF($A73="","",IFERROR(INDEX('Inventario General'!$C$5:$C$304,MATCH($A73,'Inventario General'!$A$5:$A$304,0))&amp;"","No está en el inventario"))</f>
        <v/>
      </c>
      <c r="C73" s="25" t="str">
        <f>IF($A73="","",IFERROR(INDEX('Inventario General'!$D$5:$D$304,MATCH($A73,'Inventario General'!$A$5:$A$304,0))&amp;"","No está en el inventario"))</f>
        <v/>
      </c>
      <c r="D73" s="25" t="str">
        <f>IF($A73="","",IFERROR(INDEX('Inventario General'!$I$5:$I$304,MATCH($A73,'Inventario General'!$A$5:$A$304,0))&amp;"","No está en el inventario"))</f>
        <v/>
      </c>
      <c r="E73" s="26"/>
      <c r="F73" s="26"/>
      <c r="G73" s="26"/>
      <c r="H73" s="29"/>
      <c r="I73" s="29"/>
      <c r="J73" s="44"/>
      <c r="K73" s="47"/>
      <c r="L73" s="26"/>
      <c r="M73" s="29"/>
      <c r="N73" s="26"/>
      <c r="O73" s="26"/>
      <c r="P73" s="26"/>
      <c r="Q73" s="26"/>
      <c r="R73" s="29"/>
      <c r="S73" s="26"/>
      <c r="T73" s="44"/>
      <c r="U73" s="26"/>
      <c r="V73" s="26"/>
      <c r="W73" s="27"/>
      <c r="X73" s="26"/>
    </row>
    <row r="74" spans="1:24" x14ac:dyDescent="0.25">
      <c r="A74" s="26"/>
      <c r="B74" s="25" t="str">
        <f>IF($A74="","",IFERROR(INDEX('Inventario General'!$C$5:$C$304,MATCH($A74,'Inventario General'!$A$5:$A$304,0))&amp;"","No está en el inventario"))</f>
        <v/>
      </c>
      <c r="C74" s="25" t="str">
        <f>IF($A74="","",IFERROR(INDEX('Inventario General'!$D$5:$D$304,MATCH($A74,'Inventario General'!$A$5:$A$304,0))&amp;"","No está en el inventario"))</f>
        <v/>
      </c>
      <c r="D74" s="25" t="str">
        <f>IF($A74="","",IFERROR(INDEX('Inventario General'!$I$5:$I$304,MATCH($A74,'Inventario General'!$A$5:$A$304,0))&amp;"","No está en el inventario"))</f>
        <v/>
      </c>
      <c r="E74" s="26"/>
      <c r="F74" s="26"/>
      <c r="G74" s="26"/>
      <c r="H74" s="29"/>
      <c r="I74" s="29"/>
      <c r="J74" s="44"/>
      <c r="K74" s="47"/>
      <c r="L74" s="26"/>
      <c r="M74" s="29"/>
      <c r="N74" s="26"/>
      <c r="O74" s="26"/>
      <c r="P74" s="26"/>
      <c r="Q74" s="26"/>
      <c r="R74" s="29"/>
      <c r="S74" s="26"/>
      <c r="T74" s="44"/>
      <c r="U74" s="26"/>
      <c r="V74" s="26"/>
      <c r="W74" s="27"/>
      <c r="X74" s="26"/>
    </row>
    <row r="75" spans="1:24" x14ac:dyDescent="0.25">
      <c r="A75" s="26"/>
      <c r="B75" s="25" t="str">
        <f>IF($A75="","",IFERROR(INDEX('Inventario General'!$C$5:$C$304,MATCH($A75,'Inventario General'!$A$5:$A$304,0))&amp;"","No está en el inventario"))</f>
        <v/>
      </c>
      <c r="C75" s="25" t="str">
        <f>IF($A75="","",IFERROR(INDEX('Inventario General'!$D$5:$D$304,MATCH($A75,'Inventario General'!$A$5:$A$304,0))&amp;"","No está en el inventario"))</f>
        <v/>
      </c>
      <c r="D75" s="25" t="str">
        <f>IF($A75="","",IFERROR(INDEX('Inventario General'!$I$5:$I$304,MATCH($A75,'Inventario General'!$A$5:$A$304,0))&amp;"","No está en el inventario"))</f>
        <v/>
      </c>
      <c r="E75" s="26"/>
      <c r="F75" s="26"/>
      <c r="G75" s="26"/>
      <c r="H75" s="29"/>
      <c r="I75" s="29"/>
      <c r="J75" s="44"/>
      <c r="K75" s="47"/>
      <c r="L75" s="26"/>
      <c r="M75" s="29"/>
      <c r="N75" s="26"/>
      <c r="O75" s="26"/>
      <c r="P75" s="26"/>
      <c r="Q75" s="26"/>
      <c r="R75" s="29"/>
      <c r="S75" s="26"/>
      <c r="T75" s="44"/>
      <c r="U75" s="26"/>
      <c r="V75" s="26"/>
      <c r="W75" s="27"/>
      <c r="X75" s="26"/>
    </row>
    <row r="76" spans="1:24" x14ac:dyDescent="0.25">
      <c r="A76" s="26"/>
      <c r="B76" s="25" t="str">
        <f>IF($A76="","",IFERROR(INDEX('Inventario General'!$C$5:$C$304,MATCH($A76,'Inventario General'!$A$5:$A$304,0))&amp;"","No está en el inventario"))</f>
        <v/>
      </c>
      <c r="C76" s="25" t="str">
        <f>IF($A76="","",IFERROR(INDEX('Inventario General'!$D$5:$D$304,MATCH($A76,'Inventario General'!$A$5:$A$304,0))&amp;"","No está en el inventario"))</f>
        <v/>
      </c>
      <c r="D76" s="25" t="str">
        <f>IF($A76="","",IFERROR(INDEX('Inventario General'!$I$5:$I$304,MATCH($A76,'Inventario General'!$A$5:$A$304,0))&amp;"","No está en el inventario"))</f>
        <v/>
      </c>
      <c r="E76" s="26"/>
      <c r="F76" s="26"/>
      <c r="G76" s="26"/>
      <c r="H76" s="29"/>
      <c r="I76" s="29"/>
      <c r="J76" s="44"/>
      <c r="K76" s="47"/>
      <c r="L76" s="26"/>
      <c r="M76" s="29"/>
      <c r="N76" s="26"/>
      <c r="O76" s="26"/>
      <c r="P76" s="26"/>
      <c r="Q76" s="26"/>
      <c r="R76" s="29"/>
      <c r="S76" s="26"/>
      <c r="T76" s="44"/>
      <c r="U76" s="26"/>
      <c r="V76" s="26"/>
      <c r="W76" s="27"/>
      <c r="X76" s="26"/>
    </row>
    <row r="77" spans="1:24" x14ac:dyDescent="0.25">
      <c r="A77" s="26"/>
      <c r="B77" s="25" t="str">
        <f>IF($A77="","",IFERROR(INDEX('Inventario General'!$C$5:$C$304,MATCH($A77,'Inventario General'!$A$5:$A$304,0))&amp;"","No está en el inventario"))</f>
        <v/>
      </c>
      <c r="C77" s="25" t="str">
        <f>IF($A77="","",IFERROR(INDEX('Inventario General'!$D$5:$D$304,MATCH($A77,'Inventario General'!$A$5:$A$304,0))&amp;"","No está en el inventario"))</f>
        <v/>
      </c>
      <c r="D77" s="25" t="str">
        <f>IF($A77="","",IFERROR(INDEX('Inventario General'!$I$5:$I$304,MATCH($A77,'Inventario General'!$A$5:$A$304,0))&amp;"","No está en el inventario"))</f>
        <v/>
      </c>
      <c r="E77" s="26"/>
      <c r="F77" s="26"/>
      <c r="G77" s="26"/>
      <c r="H77" s="29"/>
      <c r="I77" s="29"/>
      <c r="J77" s="44"/>
      <c r="K77" s="47"/>
      <c r="L77" s="26"/>
      <c r="M77" s="29"/>
      <c r="N77" s="26"/>
      <c r="O77" s="26"/>
      <c r="P77" s="26"/>
      <c r="Q77" s="26"/>
      <c r="R77" s="29"/>
      <c r="S77" s="26"/>
      <c r="T77" s="44"/>
      <c r="U77" s="26"/>
      <c r="V77" s="26"/>
      <c r="W77" s="27"/>
      <c r="X77" s="26"/>
    </row>
    <row r="78" spans="1:24" x14ac:dyDescent="0.25">
      <c r="A78" s="26"/>
      <c r="B78" s="25" t="str">
        <f>IF($A78="","",IFERROR(INDEX('Inventario General'!$C$5:$C$304,MATCH($A78,'Inventario General'!$A$5:$A$304,0))&amp;"","No está en el inventario"))</f>
        <v/>
      </c>
      <c r="C78" s="25" t="str">
        <f>IF($A78="","",IFERROR(INDEX('Inventario General'!$D$5:$D$304,MATCH($A78,'Inventario General'!$A$5:$A$304,0))&amp;"","No está en el inventario"))</f>
        <v/>
      </c>
      <c r="D78" s="25" t="str">
        <f>IF($A78="","",IFERROR(INDEX('Inventario General'!$I$5:$I$304,MATCH($A78,'Inventario General'!$A$5:$A$304,0))&amp;"","No está en el inventario"))</f>
        <v/>
      </c>
      <c r="E78" s="26"/>
      <c r="F78" s="26"/>
      <c r="G78" s="26"/>
      <c r="H78" s="29"/>
      <c r="I78" s="29"/>
      <c r="J78" s="44"/>
      <c r="K78" s="47"/>
      <c r="L78" s="26"/>
      <c r="M78" s="29"/>
      <c r="N78" s="26"/>
      <c r="O78" s="26"/>
      <c r="P78" s="26"/>
      <c r="Q78" s="26"/>
      <c r="R78" s="29"/>
      <c r="S78" s="26"/>
      <c r="T78" s="44"/>
      <c r="U78" s="26"/>
      <c r="V78" s="26"/>
      <c r="W78" s="27"/>
      <c r="X78" s="26"/>
    </row>
    <row r="79" spans="1:24" x14ac:dyDescent="0.25">
      <c r="A79" s="26"/>
      <c r="B79" s="25" t="str">
        <f>IF($A79="","",IFERROR(INDEX('Inventario General'!$C$5:$C$304,MATCH($A79,'Inventario General'!$A$5:$A$304,0))&amp;"","No está en el inventario"))</f>
        <v/>
      </c>
      <c r="C79" s="25" t="str">
        <f>IF($A79="","",IFERROR(INDEX('Inventario General'!$D$5:$D$304,MATCH($A79,'Inventario General'!$A$5:$A$304,0))&amp;"","No está en el inventario"))</f>
        <v/>
      </c>
      <c r="D79" s="25" t="str">
        <f>IF($A79="","",IFERROR(INDEX('Inventario General'!$I$5:$I$304,MATCH($A79,'Inventario General'!$A$5:$A$304,0))&amp;"","No está en el inventario"))</f>
        <v/>
      </c>
      <c r="E79" s="26"/>
      <c r="F79" s="26"/>
      <c r="G79" s="26"/>
      <c r="H79" s="29"/>
      <c r="I79" s="29"/>
      <c r="J79" s="44"/>
      <c r="K79" s="47"/>
      <c r="L79" s="26"/>
      <c r="M79" s="29"/>
      <c r="N79" s="26"/>
      <c r="O79" s="26"/>
      <c r="P79" s="26"/>
      <c r="Q79" s="26"/>
      <c r="R79" s="29"/>
      <c r="S79" s="26"/>
      <c r="T79" s="44"/>
      <c r="U79" s="26"/>
      <c r="V79" s="26"/>
      <c r="W79" s="27"/>
      <c r="X79" s="26"/>
    </row>
    <row r="80" spans="1:24" x14ac:dyDescent="0.25">
      <c r="A80" s="26"/>
      <c r="B80" s="25" t="str">
        <f>IF($A80="","",IFERROR(INDEX('Inventario General'!$C$5:$C$304,MATCH($A80,'Inventario General'!$A$5:$A$304,0))&amp;"","No está en el inventario"))</f>
        <v/>
      </c>
      <c r="C80" s="25" t="str">
        <f>IF($A80="","",IFERROR(INDEX('Inventario General'!$D$5:$D$304,MATCH($A80,'Inventario General'!$A$5:$A$304,0))&amp;"","No está en el inventario"))</f>
        <v/>
      </c>
      <c r="D80" s="25" t="str">
        <f>IF($A80="","",IFERROR(INDEX('Inventario General'!$I$5:$I$304,MATCH($A80,'Inventario General'!$A$5:$A$304,0))&amp;"","No está en el inventario"))</f>
        <v/>
      </c>
      <c r="E80" s="26"/>
      <c r="F80" s="26"/>
      <c r="G80" s="26"/>
      <c r="H80" s="29"/>
      <c r="I80" s="29"/>
      <c r="J80" s="44"/>
      <c r="K80" s="47"/>
      <c r="L80" s="26"/>
      <c r="M80" s="29"/>
      <c r="N80" s="26"/>
      <c r="O80" s="26"/>
      <c r="P80" s="26"/>
      <c r="Q80" s="26"/>
      <c r="R80" s="29"/>
      <c r="S80" s="26"/>
      <c r="T80" s="44"/>
      <c r="U80" s="26"/>
      <c r="V80" s="26"/>
      <c r="W80" s="27"/>
      <c r="X80" s="26"/>
    </row>
    <row r="81" spans="1:24" x14ac:dyDescent="0.25">
      <c r="A81" s="26"/>
      <c r="B81" s="25" t="str">
        <f>IF($A81="","",IFERROR(INDEX('Inventario General'!$C$5:$C$304,MATCH($A81,'Inventario General'!$A$5:$A$304,0))&amp;"","No está en el inventario"))</f>
        <v/>
      </c>
      <c r="C81" s="25" t="str">
        <f>IF($A81="","",IFERROR(INDEX('Inventario General'!$D$5:$D$304,MATCH($A81,'Inventario General'!$A$5:$A$304,0))&amp;"","No está en el inventario"))</f>
        <v/>
      </c>
      <c r="D81" s="25" t="str">
        <f>IF($A81="","",IFERROR(INDEX('Inventario General'!$I$5:$I$304,MATCH($A81,'Inventario General'!$A$5:$A$304,0))&amp;"","No está en el inventario"))</f>
        <v/>
      </c>
      <c r="E81" s="26"/>
      <c r="F81" s="26"/>
      <c r="G81" s="26"/>
      <c r="H81" s="29"/>
      <c r="I81" s="29"/>
      <c r="J81" s="44"/>
      <c r="K81" s="47"/>
      <c r="L81" s="26"/>
      <c r="M81" s="29"/>
      <c r="N81" s="26"/>
      <c r="O81" s="26"/>
      <c r="P81" s="26"/>
      <c r="Q81" s="26"/>
      <c r="R81" s="29"/>
      <c r="S81" s="26"/>
      <c r="T81" s="44"/>
      <c r="U81" s="26"/>
      <c r="V81" s="26"/>
      <c r="W81" s="27"/>
      <c r="X81" s="26"/>
    </row>
    <row r="82" spans="1:24" x14ac:dyDescent="0.25">
      <c r="A82" s="26"/>
      <c r="B82" s="25" t="str">
        <f>IF($A82="","",IFERROR(INDEX('Inventario General'!$C$5:$C$304,MATCH($A82,'Inventario General'!$A$5:$A$304,0))&amp;"","No está en el inventario"))</f>
        <v/>
      </c>
      <c r="C82" s="25" t="str">
        <f>IF($A82="","",IFERROR(INDEX('Inventario General'!$D$5:$D$304,MATCH($A82,'Inventario General'!$A$5:$A$304,0))&amp;"","No está en el inventario"))</f>
        <v/>
      </c>
      <c r="D82" s="25" t="str">
        <f>IF($A82="","",IFERROR(INDEX('Inventario General'!$I$5:$I$304,MATCH($A82,'Inventario General'!$A$5:$A$304,0))&amp;"","No está en el inventario"))</f>
        <v/>
      </c>
      <c r="E82" s="26"/>
      <c r="F82" s="26"/>
      <c r="G82" s="26"/>
      <c r="H82" s="29"/>
      <c r="I82" s="29"/>
      <c r="J82" s="44"/>
      <c r="K82" s="47"/>
      <c r="L82" s="26"/>
      <c r="M82" s="29"/>
      <c r="N82" s="26"/>
      <c r="O82" s="26"/>
      <c r="P82" s="26"/>
      <c r="Q82" s="26"/>
      <c r="R82" s="29"/>
      <c r="S82" s="26"/>
      <c r="T82" s="44"/>
      <c r="U82" s="26"/>
      <c r="V82" s="26"/>
      <c r="W82" s="27"/>
      <c r="X82" s="26"/>
    </row>
    <row r="83" spans="1:24" x14ac:dyDescent="0.25">
      <c r="A83" s="26"/>
      <c r="B83" s="25" t="str">
        <f>IF($A83="","",IFERROR(INDEX('Inventario General'!$C$5:$C$304,MATCH($A83,'Inventario General'!$A$5:$A$304,0))&amp;"","No está en el inventario"))</f>
        <v/>
      </c>
      <c r="C83" s="25" t="str">
        <f>IF($A83="","",IFERROR(INDEX('Inventario General'!$D$5:$D$304,MATCH($A83,'Inventario General'!$A$5:$A$304,0))&amp;"","No está en el inventario"))</f>
        <v/>
      </c>
      <c r="D83" s="25" t="str">
        <f>IF($A83="","",IFERROR(INDEX('Inventario General'!$I$5:$I$304,MATCH($A83,'Inventario General'!$A$5:$A$304,0))&amp;"","No está en el inventario"))</f>
        <v/>
      </c>
      <c r="E83" s="26"/>
      <c r="F83" s="26"/>
      <c r="G83" s="26"/>
      <c r="H83" s="29"/>
      <c r="I83" s="29"/>
      <c r="J83" s="44"/>
      <c r="K83" s="47"/>
      <c r="L83" s="26"/>
      <c r="M83" s="29"/>
      <c r="N83" s="26"/>
      <c r="O83" s="26"/>
      <c r="P83" s="26"/>
      <c r="Q83" s="26"/>
      <c r="R83" s="29"/>
      <c r="S83" s="26"/>
      <c r="T83" s="44"/>
      <c r="U83" s="26"/>
      <c r="V83" s="26"/>
      <c r="W83" s="27"/>
      <c r="X83" s="26"/>
    </row>
    <row r="84" spans="1:24" x14ac:dyDescent="0.25">
      <c r="A84" s="26"/>
      <c r="B84" s="25" t="str">
        <f>IF($A84="","",IFERROR(INDEX('Inventario General'!$C$5:$C$304,MATCH($A84,'Inventario General'!$A$5:$A$304,0))&amp;"","No está en el inventario"))</f>
        <v/>
      </c>
      <c r="C84" s="25" t="str">
        <f>IF($A84="","",IFERROR(INDEX('Inventario General'!$D$5:$D$304,MATCH($A84,'Inventario General'!$A$5:$A$304,0))&amp;"","No está en el inventario"))</f>
        <v/>
      </c>
      <c r="D84" s="25" t="str">
        <f>IF($A84="","",IFERROR(INDEX('Inventario General'!$I$5:$I$304,MATCH($A84,'Inventario General'!$A$5:$A$304,0))&amp;"","No está en el inventario"))</f>
        <v/>
      </c>
      <c r="E84" s="26"/>
      <c r="F84" s="26"/>
      <c r="G84" s="26"/>
      <c r="H84" s="29"/>
      <c r="I84" s="29"/>
      <c r="J84" s="44"/>
      <c r="K84" s="47"/>
      <c r="L84" s="26"/>
      <c r="M84" s="29"/>
      <c r="N84" s="26"/>
      <c r="O84" s="26"/>
      <c r="P84" s="26"/>
      <c r="Q84" s="26"/>
      <c r="R84" s="29"/>
      <c r="S84" s="26"/>
      <c r="T84" s="44"/>
      <c r="U84" s="26"/>
      <c r="V84" s="26"/>
      <c r="W84" s="27"/>
      <c r="X84" s="26"/>
    </row>
    <row r="85" spans="1:24" x14ac:dyDescent="0.25">
      <c r="A85" s="26"/>
      <c r="B85" s="25" t="str">
        <f>IF($A85="","",IFERROR(INDEX('Inventario General'!$C$5:$C$304,MATCH($A85,'Inventario General'!$A$5:$A$304,0))&amp;"","No está en el inventario"))</f>
        <v/>
      </c>
      <c r="C85" s="25" t="str">
        <f>IF($A85="","",IFERROR(INDEX('Inventario General'!$D$5:$D$304,MATCH($A85,'Inventario General'!$A$5:$A$304,0))&amp;"","No está en el inventario"))</f>
        <v/>
      </c>
      <c r="D85" s="25" t="str">
        <f>IF($A85="","",IFERROR(INDEX('Inventario General'!$I$5:$I$304,MATCH($A85,'Inventario General'!$A$5:$A$304,0))&amp;"","No está en el inventario"))</f>
        <v/>
      </c>
      <c r="E85" s="26"/>
      <c r="F85" s="26"/>
      <c r="G85" s="26"/>
      <c r="H85" s="29"/>
      <c r="I85" s="29"/>
      <c r="J85" s="44"/>
      <c r="K85" s="47"/>
      <c r="L85" s="26"/>
      <c r="M85" s="29"/>
      <c r="N85" s="26"/>
      <c r="O85" s="26"/>
      <c r="P85" s="26"/>
      <c r="Q85" s="26"/>
      <c r="R85" s="29"/>
      <c r="S85" s="26"/>
      <c r="T85" s="44"/>
      <c r="U85" s="26"/>
      <c r="V85" s="26"/>
      <c r="W85" s="27"/>
      <c r="X85" s="26"/>
    </row>
    <row r="86" spans="1:24" x14ac:dyDescent="0.25">
      <c r="A86" s="26"/>
      <c r="B86" s="25" t="str">
        <f>IF($A86="","",IFERROR(INDEX('Inventario General'!$C$5:$C$304,MATCH($A86,'Inventario General'!$A$5:$A$304,0))&amp;"","No está en el inventario"))</f>
        <v/>
      </c>
      <c r="C86" s="25" t="str">
        <f>IF($A86="","",IFERROR(INDEX('Inventario General'!$D$5:$D$304,MATCH($A86,'Inventario General'!$A$5:$A$304,0))&amp;"","No está en el inventario"))</f>
        <v/>
      </c>
      <c r="D86" s="25" t="str">
        <f>IF($A86="","",IFERROR(INDEX('Inventario General'!$I$5:$I$304,MATCH($A86,'Inventario General'!$A$5:$A$304,0))&amp;"","No está en el inventario"))</f>
        <v/>
      </c>
      <c r="E86" s="26"/>
      <c r="F86" s="26"/>
      <c r="G86" s="26"/>
      <c r="H86" s="29"/>
      <c r="I86" s="29"/>
      <c r="J86" s="44"/>
      <c r="K86" s="47"/>
      <c r="L86" s="26"/>
      <c r="M86" s="29"/>
      <c r="N86" s="26"/>
      <c r="O86" s="26"/>
      <c r="P86" s="26"/>
      <c r="Q86" s="26"/>
      <c r="R86" s="29"/>
      <c r="S86" s="26"/>
      <c r="T86" s="44"/>
      <c r="U86" s="26"/>
      <c r="V86" s="26"/>
      <c r="W86" s="27"/>
      <c r="X86" s="26"/>
    </row>
    <row r="87" spans="1:24" x14ac:dyDescent="0.25">
      <c r="A87" s="26"/>
      <c r="B87" s="25" t="str">
        <f>IF($A87="","",IFERROR(INDEX('Inventario General'!$C$5:$C$304,MATCH($A87,'Inventario General'!$A$5:$A$304,0))&amp;"","No está en el inventario"))</f>
        <v/>
      </c>
      <c r="C87" s="25" t="str">
        <f>IF($A87="","",IFERROR(INDEX('Inventario General'!$D$5:$D$304,MATCH($A87,'Inventario General'!$A$5:$A$304,0))&amp;"","No está en el inventario"))</f>
        <v/>
      </c>
      <c r="D87" s="25" t="str">
        <f>IF($A87="","",IFERROR(INDEX('Inventario General'!$I$5:$I$304,MATCH($A87,'Inventario General'!$A$5:$A$304,0))&amp;"","No está en el inventario"))</f>
        <v/>
      </c>
      <c r="E87" s="26"/>
      <c r="F87" s="26"/>
      <c r="G87" s="26"/>
      <c r="H87" s="29"/>
      <c r="I87" s="29"/>
      <c r="J87" s="44"/>
      <c r="K87" s="47"/>
      <c r="L87" s="26"/>
      <c r="M87" s="29"/>
      <c r="N87" s="26"/>
      <c r="O87" s="26"/>
      <c r="P87" s="26"/>
      <c r="Q87" s="26"/>
      <c r="R87" s="29"/>
      <c r="S87" s="26"/>
      <c r="T87" s="44"/>
      <c r="U87" s="26"/>
      <c r="V87" s="26"/>
      <c r="W87" s="27"/>
      <c r="X87" s="26"/>
    </row>
    <row r="88" spans="1:24" x14ac:dyDescent="0.25">
      <c r="A88" s="26"/>
      <c r="B88" s="25" t="str">
        <f>IF($A88="","",IFERROR(INDEX('Inventario General'!$C$5:$C$304,MATCH($A88,'Inventario General'!$A$5:$A$304,0))&amp;"","No está en el inventario"))</f>
        <v/>
      </c>
      <c r="C88" s="25" t="str">
        <f>IF($A88="","",IFERROR(INDEX('Inventario General'!$D$5:$D$304,MATCH($A88,'Inventario General'!$A$5:$A$304,0))&amp;"","No está en el inventario"))</f>
        <v/>
      </c>
      <c r="D88" s="25" t="str">
        <f>IF($A88="","",IFERROR(INDEX('Inventario General'!$I$5:$I$304,MATCH($A88,'Inventario General'!$A$5:$A$304,0))&amp;"","No está en el inventario"))</f>
        <v/>
      </c>
      <c r="E88" s="26"/>
      <c r="F88" s="26"/>
      <c r="G88" s="26"/>
      <c r="H88" s="29"/>
      <c r="I88" s="29"/>
      <c r="J88" s="44"/>
      <c r="K88" s="47"/>
      <c r="L88" s="26"/>
      <c r="M88" s="29"/>
      <c r="N88" s="26"/>
      <c r="O88" s="26"/>
      <c r="P88" s="26"/>
      <c r="Q88" s="26"/>
      <c r="R88" s="29"/>
      <c r="S88" s="26"/>
      <c r="T88" s="44"/>
      <c r="U88" s="26"/>
      <c r="V88" s="26"/>
      <c r="W88" s="27"/>
      <c r="X88" s="26"/>
    </row>
    <row r="89" spans="1:24" x14ac:dyDescent="0.25">
      <c r="A89" s="26"/>
      <c r="B89" s="25" t="str">
        <f>IF($A89="","",IFERROR(INDEX('Inventario General'!$C$5:$C$304,MATCH($A89,'Inventario General'!$A$5:$A$304,0))&amp;"","No está en el inventario"))</f>
        <v/>
      </c>
      <c r="C89" s="25" t="str">
        <f>IF($A89="","",IFERROR(INDEX('Inventario General'!$D$5:$D$304,MATCH($A89,'Inventario General'!$A$5:$A$304,0))&amp;"","No está en el inventario"))</f>
        <v/>
      </c>
      <c r="D89" s="25" t="str">
        <f>IF($A89="","",IFERROR(INDEX('Inventario General'!$I$5:$I$304,MATCH($A89,'Inventario General'!$A$5:$A$304,0))&amp;"","No está en el inventario"))</f>
        <v/>
      </c>
      <c r="E89" s="26"/>
      <c r="F89" s="26"/>
      <c r="G89" s="26"/>
      <c r="H89" s="29"/>
      <c r="I89" s="29"/>
      <c r="J89" s="44"/>
      <c r="K89" s="47"/>
      <c r="L89" s="26"/>
      <c r="M89" s="29"/>
      <c r="N89" s="26"/>
      <c r="O89" s="26"/>
      <c r="P89" s="26"/>
      <c r="Q89" s="26"/>
      <c r="R89" s="29"/>
      <c r="S89" s="26"/>
      <c r="T89" s="44"/>
      <c r="U89" s="26"/>
      <c r="V89" s="26"/>
      <c r="W89" s="27"/>
      <c r="X89" s="26"/>
    </row>
    <row r="90" spans="1:24" x14ac:dyDescent="0.25">
      <c r="A90" s="26"/>
      <c r="B90" s="25" t="str">
        <f>IF($A90="","",IFERROR(INDEX('Inventario General'!$C$5:$C$304,MATCH($A90,'Inventario General'!$A$5:$A$304,0))&amp;"","No está en el inventario"))</f>
        <v/>
      </c>
      <c r="C90" s="25" t="str">
        <f>IF($A90="","",IFERROR(INDEX('Inventario General'!$D$5:$D$304,MATCH($A90,'Inventario General'!$A$5:$A$304,0))&amp;"","No está en el inventario"))</f>
        <v/>
      </c>
      <c r="D90" s="25" t="str">
        <f>IF($A90="","",IFERROR(INDEX('Inventario General'!$I$5:$I$304,MATCH($A90,'Inventario General'!$A$5:$A$304,0))&amp;"","No está en el inventario"))</f>
        <v/>
      </c>
      <c r="E90" s="26"/>
      <c r="F90" s="26"/>
      <c r="G90" s="26"/>
      <c r="H90" s="29"/>
      <c r="I90" s="29"/>
      <c r="J90" s="44"/>
      <c r="K90" s="47"/>
      <c r="L90" s="26"/>
      <c r="M90" s="29"/>
      <c r="N90" s="26"/>
      <c r="O90" s="26"/>
      <c r="P90" s="26"/>
      <c r="Q90" s="26"/>
      <c r="R90" s="29"/>
      <c r="S90" s="26"/>
      <c r="T90" s="44"/>
      <c r="U90" s="26"/>
      <c r="V90" s="26"/>
      <c r="W90" s="27"/>
      <c r="X90" s="26"/>
    </row>
    <row r="91" spans="1:24" x14ac:dyDescent="0.25">
      <c r="A91" s="26"/>
      <c r="B91" s="25" t="str">
        <f>IF($A91="","",IFERROR(INDEX('Inventario General'!$C$5:$C$304,MATCH($A91,'Inventario General'!$A$5:$A$304,0))&amp;"","No está en el inventario"))</f>
        <v/>
      </c>
      <c r="C91" s="25" t="str">
        <f>IF($A91="","",IFERROR(INDEX('Inventario General'!$D$5:$D$304,MATCH($A91,'Inventario General'!$A$5:$A$304,0))&amp;"","No está en el inventario"))</f>
        <v/>
      </c>
      <c r="D91" s="25" t="str">
        <f>IF($A91="","",IFERROR(INDEX('Inventario General'!$I$5:$I$304,MATCH($A91,'Inventario General'!$A$5:$A$304,0))&amp;"","No está en el inventario"))</f>
        <v/>
      </c>
      <c r="E91" s="26"/>
      <c r="F91" s="26"/>
      <c r="G91" s="26"/>
      <c r="H91" s="29"/>
      <c r="I91" s="29"/>
      <c r="J91" s="44"/>
      <c r="K91" s="47"/>
      <c r="L91" s="26"/>
      <c r="M91" s="29"/>
      <c r="N91" s="26"/>
      <c r="O91" s="26"/>
      <c r="P91" s="26"/>
      <c r="Q91" s="26"/>
      <c r="R91" s="29"/>
      <c r="S91" s="26"/>
      <c r="T91" s="44"/>
      <c r="U91" s="26"/>
      <c r="V91" s="26"/>
      <c r="W91" s="27"/>
      <c r="X91" s="26"/>
    </row>
    <row r="92" spans="1:24" x14ac:dyDescent="0.25">
      <c r="A92" s="26"/>
      <c r="B92" s="25" t="str">
        <f>IF($A92="","",IFERROR(INDEX('Inventario General'!$C$5:$C$304,MATCH($A92,'Inventario General'!$A$5:$A$304,0))&amp;"","No está en el inventario"))</f>
        <v/>
      </c>
      <c r="C92" s="25" t="str">
        <f>IF($A92="","",IFERROR(INDEX('Inventario General'!$D$5:$D$304,MATCH($A92,'Inventario General'!$A$5:$A$304,0))&amp;"","No está en el inventario"))</f>
        <v/>
      </c>
      <c r="D92" s="25" t="str">
        <f>IF($A92="","",IFERROR(INDEX('Inventario General'!$I$5:$I$304,MATCH($A92,'Inventario General'!$A$5:$A$304,0))&amp;"","No está en el inventario"))</f>
        <v/>
      </c>
      <c r="E92" s="26"/>
      <c r="F92" s="26"/>
      <c r="G92" s="26"/>
      <c r="H92" s="29"/>
      <c r="I92" s="29"/>
      <c r="J92" s="44"/>
      <c r="K92" s="47"/>
      <c r="L92" s="26"/>
      <c r="M92" s="29"/>
      <c r="N92" s="26"/>
      <c r="O92" s="26"/>
      <c r="P92" s="26"/>
      <c r="Q92" s="26"/>
      <c r="R92" s="29"/>
      <c r="S92" s="26"/>
      <c r="T92" s="44"/>
      <c r="U92" s="26"/>
      <c r="V92" s="26"/>
      <c r="W92" s="27"/>
      <c r="X92" s="26"/>
    </row>
    <row r="93" spans="1:24" x14ac:dyDescent="0.25">
      <c r="A93" s="26"/>
      <c r="B93" s="25" t="str">
        <f>IF($A93="","",IFERROR(INDEX('Inventario General'!$C$5:$C$304,MATCH($A93,'Inventario General'!$A$5:$A$304,0))&amp;"","No está en el inventario"))</f>
        <v/>
      </c>
      <c r="C93" s="25" t="str">
        <f>IF($A93="","",IFERROR(INDEX('Inventario General'!$D$5:$D$304,MATCH($A93,'Inventario General'!$A$5:$A$304,0))&amp;"","No está en el inventario"))</f>
        <v/>
      </c>
      <c r="D93" s="25" t="str">
        <f>IF($A93="","",IFERROR(INDEX('Inventario General'!$I$5:$I$304,MATCH($A93,'Inventario General'!$A$5:$A$304,0))&amp;"","No está en el inventario"))</f>
        <v/>
      </c>
      <c r="E93" s="26"/>
      <c r="F93" s="26"/>
      <c r="G93" s="26"/>
      <c r="H93" s="29"/>
      <c r="I93" s="29"/>
      <c r="J93" s="44"/>
      <c r="K93" s="47"/>
      <c r="L93" s="26"/>
      <c r="M93" s="29"/>
      <c r="N93" s="26"/>
      <c r="O93" s="26"/>
      <c r="P93" s="26"/>
      <c r="Q93" s="26"/>
      <c r="R93" s="29"/>
      <c r="S93" s="26"/>
      <c r="T93" s="44"/>
      <c r="U93" s="26"/>
      <c r="V93" s="26"/>
      <c r="W93" s="27"/>
      <c r="X93" s="26"/>
    </row>
    <row r="94" spans="1:24" x14ac:dyDescent="0.25">
      <c r="A94" s="26"/>
      <c r="B94" s="25" t="str">
        <f>IF($A94="","",IFERROR(INDEX('Inventario General'!$C$5:$C$304,MATCH($A94,'Inventario General'!$A$5:$A$304,0))&amp;"","No está en el inventario"))</f>
        <v/>
      </c>
      <c r="C94" s="25" t="str">
        <f>IF($A94="","",IFERROR(INDEX('Inventario General'!$D$5:$D$304,MATCH($A94,'Inventario General'!$A$5:$A$304,0))&amp;"","No está en el inventario"))</f>
        <v/>
      </c>
      <c r="D94" s="25" t="str">
        <f>IF($A94="","",IFERROR(INDEX('Inventario General'!$I$5:$I$304,MATCH($A94,'Inventario General'!$A$5:$A$304,0))&amp;"","No está en el inventario"))</f>
        <v/>
      </c>
      <c r="E94" s="26"/>
      <c r="F94" s="26"/>
      <c r="G94" s="26"/>
      <c r="H94" s="29"/>
      <c r="I94" s="29"/>
      <c r="J94" s="44"/>
      <c r="K94" s="47"/>
      <c r="L94" s="26"/>
      <c r="M94" s="29"/>
      <c r="N94" s="26"/>
      <c r="O94" s="26"/>
      <c r="P94" s="26"/>
      <c r="Q94" s="26"/>
      <c r="R94" s="29"/>
      <c r="S94" s="26"/>
      <c r="T94" s="44"/>
      <c r="U94" s="26"/>
      <c r="V94" s="26"/>
      <c r="W94" s="27"/>
      <c r="X94" s="26"/>
    </row>
    <row r="95" spans="1:24" x14ac:dyDescent="0.25">
      <c r="A95" s="26"/>
      <c r="B95" s="25" t="str">
        <f>IF($A95="","",IFERROR(INDEX('Inventario General'!$C$5:$C$304,MATCH($A95,'Inventario General'!$A$5:$A$304,0))&amp;"","No está en el inventario"))</f>
        <v/>
      </c>
      <c r="C95" s="25" t="str">
        <f>IF($A95="","",IFERROR(INDEX('Inventario General'!$D$5:$D$304,MATCH($A95,'Inventario General'!$A$5:$A$304,0))&amp;"","No está en el inventario"))</f>
        <v/>
      </c>
      <c r="D95" s="25" t="str">
        <f>IF($A95="","",IFERROR(INDEX('Inventario General'!$I$5:$I$304,MATCH($A95,'Inventario General'!$A$5:$A$304,0))&amp;"","No está en el inventario"))</f>
        <v/>
      </c>
      <c r="E95" s="26"/>
      <c r="F95" s="26"/>
      <c r="G95" s="26"/>
      <c r="H95" s="29"/>
      <c r="I95" s="29"/>
      <c r="J95" s="44"/>
      <c r="K95" s="47"/>
      <c r="L95" s="26"/>
      <c r="M95" s="29"/>
      <c r="N95" s="26"/>
      <c r="O95" s="26"/>
      <c r="P95" s="26"/>
      <c r="Q95" s="26"/>
      <c r="R95" s="29"/>
      <c r="S95" s="26"/>
      <c r="T95" s="44"/>
      <c r="U95" s="26"/>
      <c r="V95" s="26"/>
      <c r="W95" s="27"/>
      <c r="X95" s="26"/>
    </row>
    <row r="96" spans="1:24" x14ac:dyDescent="0.25">
      <c r="A96" s="26"/>
      <c r="B96" s="25" t="str">
        <f>IF($A96="","",IFERROR(INDEX('Inventario General'!$C$5:$C$304,MATCH($A96,'Inventario General'!$A$5:$A$304,0))&amp;"","No está en el inventario"))</f>
        <v/>
      </c>
      <c r="C96" s="25" t="str">
        <f>IF($A96="","",IFERROR(INDEX('Inventario General'!$D$5:$D$304,MATCH($A96,'Inventario General'!$A$5:$A$304,0))&amp;"","No está en el inventario"))</f>
        <v/>
      </c>
      <c r="D96" s="25" t="str">
        <f>IF($A96="","",IFERROR(INDEX('Inventario General'!$I$5:$I$304,MATCH($A96,'Inventario General'!$A$5:$A$304,0))&amp;"","No está en el inventario"))</f>
        <v/>
      </c>
      <c r="E96" s="26"/>
      <c r="F96" s="26"/>
      <c r="G96" s="26"/>
      <c r="H96" s="29"/>
      <c r="I96" s="29"/>
      <c r="J96" s="44"/>
      <c r="K96" s="47"/>
      <c r="L96" s="26"/>
      <c r="M96" s="29"/>
      <c r="N96" s="26"/>
      <c r="O96" s="26"/>
      <c r="P96" s="26"/>
      <c r="Q96" s="26"/>
      <c r="R96" s="29"/>
      <c r="S96" s="26"/>
      <c r="T96" s="44"/>
      <c r="U96" s="26"/>
      <c r="V96" s="26"/>
      <c r="W96" s="27"/>
      <c r="X96" s="26"/>
    </row>
    <row r="97" spans="1:24" x14ac:dyDescent="0.25">
      <c r="A97" s="26"/>
      <c r="B97" s="25" t="str">
        <f>IF($A97="","",IFERROR(INDEX('Inventario General'!$C$5:$C$304,MATCH($A97,'Inventario General'!$A$5:$A$304,0))&amp;"","No está en el inventario"))</f>
        <v/>
      </c>
      <c r="C97" s="25" t="str">
        <f>IF($A97="","",IFERROR(INDEX('Inventario General'!$D$5:$D$304,MATCH($A97,'Inventario General'!$A$5:$A$304,0))&amp;"","No está en el inventario"))</f>
        <v/>
      </c>
      <c r="D97" s="25" t="str">
        <f>IF($A97="","",IFERROR(INDEX('Inventario General'!$I$5:$I$304,MATCH($A97,'Inventario General'!$A$5:$A$304,0))&amp;"","No está en el inventario"))</f>
        <v/>
      </c>
      <c r="E97" s="26"/>
      <c r="F97" s="26"/>
      <c r="G97" s="26"/>
      <c r="H97" s="29"/>
      <c r="I97" s="29"/>
      <c r="J97" s="44"/>
      <c r="K97" s="47"/>
      <c r="L97" s="26"/>
      <c r="M97" s="29"/>
      <c r="N97" s="26"/>
      <c r="O97" s="26"/>
      <c r="P97" s="26"/>
      <c r="Q97" s="26"/>
      <c r="R97" s="29"/>
      <c r="S97" s="26"/>
      <c r="T97" s="44"/>
      <c r="U97" s="26"/>
      <c r="V97" s="26"/>
      <c r="W97" s="27"/>
      <c r="X97" s="26"/>
    </row>
    <row r="98" spans="1:24" x14ac:dyDescent="0.25">
      <c r="A98" s="26"/>
      <c r="B98" s="25" t="str">
        <f>IF($A98="","",IFERROR(INDEX('Inventario General'!$C$5:$C$304,MATCH($A98,'Inventario General'!$A$5:$A$304,0))&amp;"","No está en el inventario"))</f>
        <v/>
      </c>
      <c r="C98" s="25" t="str">
        <f>IF($A98="","",IFERROR(INDEX('Inventario General'!$D$5:$D$304,MATCH($A98,'Inventario General'!$A$5:$A$304,0))&amp;"","No está en el inventario"))</f>
        <v/>
      </c>
      <c r="D98" s="25" t="str">
        <f>IF($A98="","",IFERROR(INDEX('Inventario General'!$I$5:$I$304,MATCH($A98,'Inventario General'!$A$5:$A$304,0))&amp;"","No está en el inventario"))</f>
        <v/>
      </c>
      <c r="E98" s="26"/>
      <c r="F98" s="26"/>
      <c r="G98" s="26"/>
      <c r="H98" s="29"/>
      <c r="I98" s="29"/>
      <c r="J98" s="44"/>
      <c r="K98" s="47"/>
      <c r="L98" s="26"/>
      <c r="M98" s="29"/>
      <c r="N98" s="26"/>
      <c r="O98" s="26"/>
      <c r="P98" s="26"/>
      <c r="Q98" s="26"/>
      <c r="R98" s="29"/>
      <c r="S98" s="26"/>
      <c r="T98" s="44"/>
      <c r="U98" s="26"/>
      <c r="V98" s="26"/>
      <c r="W98" s="27"/>
      <c r="X98" s="26"/>
    </row>
    <row r="99" spans="1:24" x14ac:dyDescent="0.25">
      <c r="A99" s="26"/>
      <c r="B99" s="25" t="str">
        <f>IF($A99="","",IFERROR(INDEX('Inventario General'!$C$5:$C$304,MATCH($A99,'Inventario General'!$A$5:$A$304,0))&amp;"","No está en el inventario"))</f>
        <v/>
      </c>
      <c r="C99" s="25" t="str">
        <f>IF($A99="","",IFERROR(INDEX('Inventario General'!$D$5:$D$304,MATCH($A99,'Inventario General'!$A$5:$A$304,0))&amp;"","No está en el inventario"))</f>
        <v/>
      </c>
      <c r="D99" s="25" t="str">
        <f>IF($A99="","",IFERROR(INDEX('Inventario General'!$I$5:$I$304,MATCH($A99,'Inventario General'!$A$5:$A$304,0))&amp;"","No está en el inventario"))</f>
        <v/>
      </c>
      <c r="E99" s="26"/>
      <c r="F99" s="26"/>
      <c r="G99" s="26"/>
      <c r="H99" s="29"/>
      <c r="I99" s="29"/>
      <c r="J99" s="44"/>
      <c r="K99" s="47"/>
      <c r="L99" s="26"/>
      <c r="M99" s="29"/>
      <c r="N99" s="26"/>
      <c r="O99" s="26"/>
      <c r="P99" s="26"/>
      <c r="Q99" s="26"/>
      <c r="R99" s="29"/>
      <c r="S99" s="26"/>
      <c r="T99" s="44"/>
      <c r="U99" s="26"/>
      <c r="V99" s="26"/>
      <c r="W99" s="27"/>
      <c r="X99" s="26"/>
    </row>
    <row r="100" spans="1:24" x14ac:dyDescent="0.25">
      <c r="A100" s="26"/>
      <c r="B100" s="25" t="str">
        <f>IF($A100="","",IFERROR(INDEX('Inventario General'!$C$5:$C$304,MATCH($A100,'Inventario General'!$A$5:$A$304,0))&amp;"","No está en el inventario"))</f>
        <v/>
      </c>
      <c r="C100" s="25" t="str">
        <f>IF($A100="","",IFERROR(INDEX('Inventario General'!$D$5:$D$304,MATCH($A100,'Inventario General'!$A$5:$A$304,0))&amp;"","No está en el inventario"))</f>
        <v/>
      </c>
      <c r="D100" s="25" t="str">
        <f>IF($A100="","",IFERROR(INDEX('Inventario General'!$I$5:$I$304,MATCH($A100,'Inventario General'!$A$5:$A$304,0))&amp;"","No está en el inventario"))</f>
        <v/>
      </c>
      <c r="E100" s="26"/>
      <c r="F100" s="26"/>
      <c r="G100" s="26"/>
      <c r="H100" s="29"/>
      <c r="I100" s="29"/>
      <c r="J100" s="44"/>
      <c r="K100" s="47"/>
      <c r="L100" s="26"/>
      <c r="M100" s="29"/>
      <c r="N100" s="26"/>
      <c r="O100" s="26"/>
      <c r="P100" s="26"/>
      <c r="Q100" s="26"/>
      <c r="R100" s="29"/>
      <c r="S100" s="26"/>
      <c r="T100" s="44"/>
      <c r="U100" s="26"/>
      <c r="V100" s="26"/>
      <c r="W100" s="27"/>
      <c r="X100" s="26"/>
    </row>
    <row r="101" spans="1:24" x14ac:dyDescent="0.25">
      <c r="A101" s="26"/>
      <c r="B101" s="25" t="str">
        <f>IF($A101="","",IFERROR(INDEX('Inventario General'!$C$5:$C$304,MATCH($A101,'Inventario General'!$A$5:$A$304,0))&amp;"","No está en el inventario"))</f>
        <v/>
      </c>
      <c r="C101" s="25" t="str">
        <f>IF($A101="","",IFERROR(INDEX('Inventario General'!$D$5:$D$304,MATCH($A101,'Inventario General'!$A$5:$A$304,0))&amp;"","No está en el inventario"))</f>
        <v/>
      </c>
      <c r="D101" s="25" t="str">
        <f>IF($A101="","",IFERROR(INDEX('Inventario General'!$I$5:$I$304,MATCH($A101,'Inventario General'!$A$5:$A$304,0))&amp;"","No está en el inventario"))</f>
        <v/>
      </c>
      <c r="E101" s="26"/>
      <c r="F101" s="26"/>
      <c r="G101" s="26"/>
      <c r="H101" s="29"/>
      <c r="I101" s="29"/>
      <c r="J101" s="44"/>
      <c r="K101" s="47"/>
      <c r="L101" s="26"/>
      <c r="M101" s="29"/>
      <c r="N101" s="26"/>
      <c r="O101" s="26"/>
      <c r="P101" s="26"/>
      <c r="Q101" s="26"/>
      <c r="R101" s="29"/>
      <c r="S101" s="26"/>
      <c r="T101" s="44"/>
      <c r="U101" s="26"/>
      <c r="V101" s="26"/>
      <c r="W101" s="27"/>
      <c r="X101" s="26"/>
    </row>
    <row r="102" spans="1:24" x14ac:dyDescent="0.25">
      <c r="A102" s="26"/>
      <c r="B102" s="25" t="str">
        <f>IF($A102="","",IFERROR(INDEX('Inventario General'!$C$5:$C$304,MATCH($A102,'Inventario General'!$A$5:$A$304,0))&amp;"","No está en el inventario"))</f>
        <v/>
      </c>
      <c r="C102" s="25" t="str">
        <f>IF($A102="","",IFERROR(INDEX('Inventario General'!$D$5:$D$304,MATCH($A102,'Inventario General'!$A$5:$A$304,0))&amp;"","No está en el inventario"))</f>
        <v/>
      </c>
      <c r="D102" s="25" t="str">
        <f>IF($A102="","",IFERROR(INDEX('Inventario General'!$I$5:$I$304,MATCH($A102,'Inventario General'!$A$5:$A$304,0))&amp;"","No está en el inventario"))</f>
        <v/>
      </c>
      <c r="E102" s="26"/>
      <c r="F102" s="26"/>
      <c r="G102" s="26"/>
      <c r="H102" s="29"/>
      <c r="I102" s="29"/>
      <c r="J102" s="44"/>
      <c r="K102" s="47"/>
      <c r="L102" s="26"/>
      <c r="M102" s="29"/>
      <c r="N102" s="26"/>
      <c r="O102" s="26"/>
      <c r="P102" s="26"/>
      <c r="Q102" s="26"/>
      <c r="R102" s="29"/>
      <c r="S102" s="26"/>
      <c r="T102" s="44"/>
      <c r="U102" s="26"/>
      <c r="V102" s="26"/>
      <c r="W102" s="27"/>
      <c r="X102" s="26"/>
    </row>
    <row r="103" spans="1:24" x14ac:dyDescent="0.25">
      <c r="A103" s="26"/>
      <c r="B103" s="25" t="str">
        <f>IF($A103="","",IFERROR(INDEX('Inventario General'!$C$5:$C$304,MATCH($A103,'Inventario General'!$A$5:$A$304,0))&amp;"","No está en el inventario"))</f>
        <v/>
      </c>
      <c r="C103" s="25" t="str">
        <f>IF($A103="","",IFERROR(INDEX('Inventario General'!$D$5:$D$304,MATCH($A103,'Inventario General'!$A$5:$A$304,0))&amp;"","No está en el inventario"))</f>
        <v/>
      </c>
      <c r="D103" s="25" t="str">
        <f>IF($A103="","",IFERROR(INDEX('Inventario General'!$I$5:$I$304,MATCH($A103,'Inventario General'!$A$5:$A$304,0))&amp;"","No está en el inventario"))</f>
        <v/>
      </c>
      <c r="E103" s="26"/>
      <c r="F103" s="26"/>
      <c r="G103" s="26"/>
      <c r="H103" s="29"/>
      <c r="I103" s="29"/>
      <c r="J103" s="44"/>
      <c r="K103" s="47"/>
      <c r="L103" s="26"/>
      <c r="M103" s="29"/>
      <c r="N103" s="26"/>
      <c r="O103" s="26"/>
      <c r="P103" s="26"/>
      <c r="Q103" s="26"/>
      <c r="R103" s="29"/>
      <c r="S103" s="26"/>
      <c r="T103" s="44"/>
      <c r="U103" s="26"/>
      <c r="V103" s="26"/>
      <c r="W103" s="27"/>
      <c r="X103" s="26"/>
    </row>
    <row r="104" spans="1:24" x14ac:dyDescent="0.25">
      <c r="A104" s="26"/>
      <c r="B104" s="25" t="str">
        <f>IF($A104="","",IFERROR(INDEX('Inventario General'!$C$5:$C$304,MATCH($A104,'Inventario General'!$A$5:$A$304,0))&amp;"","No está en el inventario"))</f>
        <v/>
      </c>
      <c r="C104" s="25" t="str">
        <f>IF($A104="","",IFERROR(INDEX('Inventario General'!$D$5:$D$304,MATCH($A104,'Inventario General'!$A$5:$A$304,0))&amp;"","No está en el inventario"))</f>
        <v/>
      </c>
      <c r="D104" s="25" t="str">
        <f>IF($A104="","",IFERROR(INDEX('Inventario General'!$I$5:$I$304,MATCH($A104,'Inventario General'!$A$5:$A$304,0))&amp;"","No está en el inventario"))</f>
        <v/>
      </c>
      <c r="E104" s="26"/>
      <c r="F104" s="26"/>
      <c r="G104" s="26"/>
      <c r="H104" s="29"/>
      <c r="I104" s="29"/>
      <c r="J104" s="44"/>
      <c r="K104" s="47"/>
      <c r="L104" s="26"/>
      <c r="M104" s="29"/>
      <c r="N104" s="26"/>
      <c r="O104" s="26"/>
      <c r="P104" s="26"/>
      <c r="Q104" s="26"/>
      <c r="R104" s="29"/>
      <c r="S104" s="26"/>
      <c r="T104" s="44"/>
      <c r="U104" s="26"/>
      <c r="V104" s="26"/>
      <c r="W104" s="27"/>
      <c r="X104" s="26"/>
    </row>
    <row r="105" spans="1:24" x14ac:dyDescent="0.25">
      <c r="A105" s="26"/>
      <c r="B105" s="25" t="str">
        <f>IF($A105="","",IFERROR(INDEX('Inventario General'!$C$5:$C$304,MATCH($A105,'Inventario General'!$A$5:$A$304,0))&amp;"","No está en el inventario"))</f>
        <v/>
      </c>
      <c r="C105" s="25" t="str">
        <f>IF($A105="","",IFERROR(INDEX('Inventario General'!$D$5:$D$304,MATCH($A105,'Inventario General'!$A$5:$A$304,0))&amp;"","No está en el inventario"))</f>
        <v/>
      </c>
      <c r="D105" s="25" t="str">
        <f>IF($A105="","",IFERROR(INDEX('Inventario General'!$I$5:$I$304,MATCH($A105,'Inventario General'!$A$5:$A$304,0))&amp;"","No está en el inventario"))</f>
        <v/>
      </c>
      <c r="E105" s="26"/>
      <c r="F105" s="26"/>
      <c r="G105" s="26"/>
      <c r="H105" s="29"/>
      <c r="I105" s="29"/>
      <c r="J105" s="44"/>
      <c r="K105" s="47"/>
      <c r="L105" s="26"/>
      <c r="M105" s="29"/>
      <c r="N105" s="26"/>
      <c r="O105" s="26"/>
      <c r="P105" s="26"/>
      <c r="Q105" s="26"/>
      <c r="R105" s="29"/>
      <c r="S105" s="26"/>
      <c r="T105" s="44"/>
      <c r="U105" s="26"/>
      <c r="V105" s="26"/>
      <c r="W105" s="27"/>
      <c r="X105" s="26"/>
    </row>
    <row r="106" spans="1:24" x14ac:dyDescent="0.25">
      <c r="A106" s="26"/>
      <c r="B106" s="25" t="str">
        <f>IF($A106="","",IFERROR(INDEX('Inventario General'!$C$5:$C$304,MATCH($A106,'Inventario General'!$A$5:$A$304,0))&amp;"","No está en el inventario"))</f>
        <v/>
      </c>
      <c r="C106" s="25" t="str">
        <f>IF($A106="","",IFERROR(INDEX('Inventario General'!$D$5:$D$304,MATCH($A106,'Inventario General'!$A$5:$A$304,0))&amp;"","No está en el inventario"))</f>
        <v/>
      </c>
      <c r="D106" s="25" t="str">
        <f>IF($A106="","",IFERROR(INDEX('Inventario General'!$I$5:$I$304,MATCH($A106,'Inventario General'!$A$5:$A$304,0))&amp;"","No está en el inventario"))</f>
        <v/>
      </c>
      <c r="E106" s="26"/>
      <c r="F106" s="26"/>
      <c r="G106" s="26"/>
      <c r="H106" s="29"/>
      <c r="I106" s="29"/>
      <c r="J106" s="44"/>
      <c r="K106" s="47"/>
      <c r="L106" s="26"/>
      <c r="M106" s="29"/>
      <c r="N106" s="26"/>
      <c r="O106" s="26"/>
      <c r="P106" s="26"/>
      <c r="Q106" s="26"/>
      <c r="R106" s="29"/>
      <c r="S106" s="26"/>
      <c r="T106" s="44"/>
      <c r="U106" s="26"/>
      <c r="V106" s="26"/>
      <c r="W106" s="27"/>
      <c r="X106" s="26"/>
    </row>
    <row r="107" spans="1:24" x14ac:dyDescent="0.25">
      <c r="A107" s="26"/>
      <c r="B107" s="25" t="str">
        <f>IF($A107="","",IFERROR(INDEX('Inventario General'!$C$5:$C$304,MATCH($A107,'Inventario General'!$A$5:$A$304,0))&amp;"","No está en el inventario"))</f>
        <v/>
      </c>
      <c r="C107" s="25" t="str">
        <f>IF($A107="","",IFERROR(INDEX('Inventario General'!$D$5:$D$304,MATCH($A107,'Inventario General'!$A$5:$A$304,0))&amp;"","No está en el inventario"))</f>
        <v/>
      </c>
      <c r="D107" s="25" t="str">
        <f>IF($A107="","",IFERROR(INDEX('Inventario General'!$I$5:$I$304,MATCH($A107,'Inventario General'!$A$5:$A$304,0))&amp;"","No está en el inventario"))</f>
        <v/>
      </c>
      <c r="E107" s="26"/>
      <c r="F107" s="26"/>
      <c r="G107" s="26"/>
      <c r="H107" s="29"/>
      <c r="I107" s="29"/>
      <c r="J107" s="44"/>
      <c r="K107" s="47"/>
      <c r="L107" s="26"/>
      <c r="M107" s="29"/>
      <c r="N107" s="26"/>
      <c r="O107" s="26"/>
      <c r="P107" s="26"/>
      <c r="Q107" s="26"/>
      <c r="R107" s="29"/>
      <c r="S107" s="26"/>
      <c r="T107" s="44"/>
      <c r="U107" s="26"/>
      <c r="V107" s="26"/>
      <c r="W107" s="27"/>
      <c r="X107" s="26"/>
    </row>
    <row r="108" spans="1:24" x14ac:dyDescent="0.25">
      <c r="A108" s="26"/>
      <c r="B108" s="25" t="str">
        <f>IF($A108="","",IFERROR(INDEX('Inventario General'!$C$5:$C$304,MATCH($A108,'Inventario General'!$A$5:$A$304,0))&amp;"","No está en el inventario"))</f>
        <v/>
      </c>
      <c r="C108" s="25" t="str">
        <f>IF($A108="","",IFERROR(INDEX('Inventario General'!$D$5:$D$304,MATCH($A108,'Inventario General'!$A$5:$A$304,0))&amp;"","No está en el inventario"))</f>
        <v/>
      </c>
      <c r="D108" s="25" t="str">
        <f>IF($A108="","",IFERROR(INDEX('Inventario General'!$I$5:$I$304,MATCH($A108,'Inventario General'!$A$5:$A$304,0))&amp;"","No está en el inventario"))</f>
        <v/>
      </c>
      <c r="E108" s="26"/>
      <c r="F108" s="26"/>
      <c r="G108" s="26"/>
      <c r="H108" s="29"/>
      <c r="I108" s="29"/>
      <c r="J108" s="44"/>
      <c r="K108" s="47"/>
      <c r="L108" s="26"/>
      <c r="M108" s="29"/>
      <c r="N108" s="26"/>
      <c r="O108" s="26"/>
      <c r="P108" s="26"/>
      <c r="Q108" s="26"/>
      <c r="R108" s="29"/>
      <c r="S108" s="26"/>
      <c r="T108" s="44"/>
      <c r="U108" s="26"/>
      <c r="V108" s="26"/>
      <c r="W108" s="27"/>
      <c r="X108" s="26"/>
    </row>
    <row r="109" spans="1:24" x14ac:dyDescent="0.25">
      <c r="A109" s="26"/>
      <c r="B109" s="25" t="str">
        <f>IF($A109="","",IFERROR(INDEX('Inventario General'!$C$5:$C$304,MATCH($A109,'Inventario General'!$A$5:$A$304,0))&amp;"","No está en el inventario"))</f>
        <v/>
      </c>
      <c r="C109" s="25" t="str">
        <f>IF($A109="","",IFERROR(INDEX('Inventario General'!$D$5:$D$304,MATCH($A109,'Inventario General'!$A$5:$A$304,0))&amp;"","No está en el inventario"))</f>
        <v/>
      </c>
      <c r="D109" s="25" t="str">
        <f>IF($A109="","",IFERROR(INDEX('Inventario General'!$I$5:$I$304,MATCH($A109,'Inventario General'!$A$5:$A$304,0))&amp;"","No está en el inventario"))</f>
        <v/>
      </c>
      <c r="E109" s="26"/>
      <c r="F109" s="26"/>
      <c r="G109" s="26"/>
      <c r="H109" s="29"/>
      <c r="I109" s="29"/>
      <c r="J109" s="44"/>
      <c r="K109" s="47"/>
      <c r="L109" s="26"/>
      <c r="M109" s="29"/>
      <c r="N109" s="26"/>
      <c r="O109" s="26"/>
      <c r="P109" s="26"/>
      <c r="Q109" s="26"/>
      <c r="R109" s="29"/>
      <c r="S109" s="26"/>
      <c r="T109" s="44"/>
      <c r="U109" s="26"/>
      <c r="V109" s="26"/>
      <c r="W109" s="27"/>
      <c r="X109" s="26"/>
    </row>
    <row r="110" spans="1:24" x14ac:dyDescent="0.25">
      <c r="A110" s="26"/>
      <c r="B110" s="25" t="str">
        <f>IF($A110="","",IFERROR(INDEX('Inventario General'!$C$5:$C$304,MATCH($A110,'Inventario General'!$A$5:$A$304,0))&amp;"","No está en el inventario"))</f>
        <v/>
      </c>
      <c r="C110" s="25" t="str">
        <f>IF($A110="","",IFERROR(INDEX('Inventario General'!$D$5:$D$304,MATCH($A110,'Inventario General'!$A$5:$A$304,0))&amp;"","No está en el inventario"))</f>
        <v/>
      </c>
      <c r="D110" s="25" t="str">
        <f>IF($A110="","",IFERROR(INDEX('Inventario General'!$I$5:$I$304,MATCH($A110,'Inventario General'!$A$5:$A$304,0))&amp;"","No está en el inventario"))</f>
        <v/>
      </c>
      <c r="E110" s="26"/>
      <c r="F110" s="26"/>
      <c r="G110" s="26"/>
      <c r="H110" s="29"/>
      <c r="I110" s="29"/>
      <c r="J110" s="44"/>
      <c r="K110" s="47"/>
      <c r="L110" s="26"/>
      <c r="M110" s="29"/>
      <c r="N110" s="26"/>
      <c r="O110" s="26"/>
      <c r="P110" s="26"/>
      <c r="Q110" s="26"/>
      <c r="R110" s="29"/>
      <c r="S110" s="26"/>
      <c r="T110" s="44"/>
      <c r="U110" s="26"/>
      <c r="V110" s="26"/>
      <c r="W110" s="27"/>
      <c r="X110" s="26"/>
    </row>
    <row r="111" spans="1:24" x14ac:dyDescent="0.25">
      <c r="A111" s="26"/>
      <c r="B111" s="25" t="str">
        <f>IF($A111="","",IFERROR(INDEX('Inventario General'!$C$5:$C$304,MATCH($A111,'Inventario General'!$A$5:$A$304,0))&amp;"","No está en el inventario"))</f>
        <v/>
      </c>
      <c r="C111" s="25" t="str">
        <f>IF($A111="","",IFERROR(INDEX('Inventario General'!$D$5:$D$304,MATCH($A111,'Inventario General'!$A$5:$A$304,0))&amp;"","No está en el inventario"))</f>
        <v/>
      </c>
      <c r="D111" s="25" t="str">
        <f>IF($A111="","",IFERROR(INDEX('Inventario General'!$I$5:$I$304,MATCH($A111,'Inventario General'!$A$5:$A$304,0))&amp;"","No está en el inventario"))</f>
        <v/>
      </c>
      <c r="E111" s="26"/>
      <c r="F111" s="26"/>
      <c r="G111" s="26"/>
      <c r="H111" s="29"/>
      <c r="I111" s="29"/>
      <c r="J111" s="44"/>
      <c r="K111" s="47"/>
      <c r="L111" s="26"/>
      <c r="M111" s="29"/>
      <c r="N111" s="26"/>
      <c r="O111" s="26"/>
      <c r="P111" s="26"/>
      <c r="Q111" s="26"/>
      <c r="R111" s="29"/>
      <c r="S111" s="26"/>
      <c r="T111" s="44"/>
      <c r="U111" s="26"/>
      <c r="V111" s="26"/>
      <c r="W111" s="27"/>
      <c r="X111" s="26"/>
    </row>
    <row r="112" spans="1:24" x14ac:dyDescent="0.25">
      <c r="A112" s="26"/>
      <c r="B112" s="25" t="str">
        <f>IF($A112="","",IFERROR(INDEX('Inventario General'!$C$5:$C$304,MATCH($A112,'Inventario General'!$A$5:$A$304,0))&amp;"","No está en el inventario"))</f>
        <v/>
      </c>
      <c r="C112" s="25" t="str">
        <f>IF($A112="","",IFERROR(INDEX('Inventario General'!$D$5:$D$304,MATCH($A112,'Inventario General'!$A$5:$A$304,0))&amp;"","No está en el inventario"))</f>
        <v/>
      </c>
      <c r="D112" s="25" t="str">
        <f>IF($A112="","",IFERROR(INDEX('Inventario General'!$I$5:$I$304,MATCH($A112,'Inventario General'!$A$5:$A$304,0))&amp;"","No está en el inventario"))</f>
        <v/>
      </c>
      <c r="E112" s="26"/>
      <c r="F112" s="26"/>
      <c r="G112" s="26"/>
      <c r="H112" s="29"/>
      <c r="I112" s="29"/>
      <c r="J112" s="44"/>
      <c r="K112" s="47"/>
      <c r="L112" s="26"/>
      <c r="M112" s="29"/>
      <c r="N112" s="26"/>
      <c r="O112" s="26"/>
      <c r="P112" s="26"/>
      <c r="Q112" s="26"/>
      <c r="R112" s="29"/>
      <c r="S112" s="26"/>
      <c r="T112" s="44"/>
      <c r="U112" s="26"/>
      <c r="V112" s="26"/>
      <c r="W112" s="27"/>
      <c r="X112" s="26"/>
    </row>
    <row r="113" spans="1:24" x14ac:dyDescent="0.25">
      <c r="A113" s="26"/>
      <c r="B113" s="25" t="str">
        <f>IF($A113="","",IFERROR(INDEX('Inventario General'!$C$5:$C$304,MATCH($A113,'Inventario General'!$A$5:$A$304,0))&amp;"","No está en el inventario"))</f>
        <v/>
      </c>
      <c r="C113" s="25" t="str">
        <f>IF($A113="","",IFERROR(INDEX('Inventario General'!$D$5:$D$304,MATCH($A113,'Inventario General'!$A$5:$A$304,0))&amp;"","No está en el inventario"))</f>
        <v/>
      </c>
      <c r="D113" s="25" t="str">
        <f>IF($A113="","",IFERROR(INDEX('Inventario General'!$I$5:$I$304,MATCH($A113,'Inventario General'!$A$5:$A$304,0))&amp;"","No está en el inventario"))</f>
        <v/>
      </c>
      <c r="E113" s="26"/>
      <c r="F113" s="26"/>
      <c r="G113" s="26"/>
      <c r="H113" s="29"/>
      <c r="I113" s="29"/>
      <c r="J113" s="44"/>
      <c r="K113" s="47"/>
      <c r="L113" s="26"/>
      <c r="M113" s="29"/>
      <c r="N113" s="26"/>
      <c r="O113" s="26"/>
      <c r="P113" s="26"/>
      <c r="Q113" s="26"/>
      <c r="R113" s="29"/>
      <c r="S113" s="26"/>
      <c r="T113" s="44"/>
      <c r="U113" s="26"/>
      <c r="V113" s="26"/>
      <c r="W113" s="27"/>
      <c r="X113" s="26"/>
    </row>
    <row r="114" spans="1:24" x14ac:dyDescent="0.25">
      <c r="A114" s="26"/>
      <c r="B114" s="25" t="str">
        <f>IF($A114="","",IFERROR(INDEX('Inventario General'!$C$5:$C$304,MATCH($A114,'Inventario General'!$A$5:$A$304,0))&amp;"","No está en el inventario"))</f>
        <v/>
      </c>
      <c r="C114" s="25" t="str">
        <f>IF($A114="","",IFERROR(INDEX('Inventario General'!$D$5:$D$304,MATCH($A114,'Inventario General'!$A$5:$A$304,0))&amp;"","No está en el inventario"))</f>
        <v/>
      </c>
      <c r="D114" s="25" t="str">
        <f>IF($A114="","",IFERROR(INDEX('Inventario General'!$I$5:$I$304,MATCH($A114,'Inventario General'!$A$5:$A$304,0))&amp;"","No está en el inventario"))</f>
        <v/>
      </c>
      <c r="E114" s="26"/>
      <c r="F114" s="26"/>
      <c r="G114" s="26"/>
      <c r="H114" s="29"/>
      <c r="I114" s="29"/>
      <c r="J114" s="44"/>
      <c r="K114" s="47"/>
      <c r="L114" s="26"/>
      <c r="M114" s="29"/>
      <c r="N114" s="26"/>
      <c r="O114" s="26"/>
      <c r="P114" s="26"/>
      <c r="Q114" s="26"/>
      <c r="R114" s="29"/>
      <c r="S114" s="26"/>
      <c r="T114" s="44"/>
      <c r="U114" s="26"/>
      <c r="V114" s="26"/>
      <c r="W114" s="27"/>
      <c r="X114" s="26"/>
    </row>
    <row r="115" spans="1:24" x14ac:dyDescent="0.25">
      <c r="A115" s="26"/>
      <c r="B115" s="25" t="str">
        <f>IF($A115="","",IFERROR(INDEX('Inventario General'!$C$5:$C$304,MATCH($A115,'Inventario General'!$A$5:$A$304,0))&amp;"","No está en el inventario"))</f>
        <v/>
      </c>
      <c r="C115" s="25" t="str">
        <f>IF($A115="","",IFERROR(INDEX('Inventario General'!$D$5:$D$304,MATCH($A115,'Inventario General'!$A$5:$A$304,0))&amp;"","No está en el inventario"))</f>
        <v/>
      </c>
      <c r="D115" s="25" t="str">
        <f>IF($A115="","",IFERROR(INDEX('Inventario General'!$I$5:$I$304,MATCH($A115,'Inventario General'!$A$5:$A$304,0))&amp;"","No está en el inventario"))</f>
        <v/>
      </c>
      <c r="E115" s="26"/>
      <c r="F115" s="26"/>
      <c r="G115" s="26"/>
      <c r="H115" s="29"/>
      <c r="I115" s="29"/>
      <c r="J115" s="44"/>
      <c r="K115" s="47"/>
      <c r="L115" s="26"/>
      <c r="M115" s="29"/>
      <c r="N115" s="26"/>
      <c r="O115" s="26"/>
      <c r="P115" s="26"/>
      <c r="Q115" s="26"/>
      <c r="R115" s="29"/>
      <c r="S115" s="26"/>
      <c r="T115" s="44"/>
      <c r="U115" s="26"/>
      <c r="V115" s="26"/>
      <c r="W115" s="27"/>
      <c r="X115" s="26"/>
    </row>
    <row r="116" spans="1:24" x14ac:dyDescent="0.25">
      <c r="A116" s="26"/>
      <c r="B116" s="25" t="str">
        <f>IF($A116="","",IFERROR(INDEX('Inventario General'!$C$5:$C$304,MATCH($A116,'Inventario General'!$A$5:$A$304,0))&amp;"","No está en el inventario"))</f>
        <v/>
      </c>
      <c r="C116" s="25" t="str">
        <f>IF($A116="","",IFERROR(INDEX('Inventario General'!$D$5:$D$304,MATCH($A116,'Inventario General'!$A$5:$A$304,0))&amp;"","No está en el inventario"))</f>
        <v/>
      </c>
      <c r="D116" s="25" t="str">
        <f>IF($A116="","",IFERROR(INDEX('Inventario General'!$I$5:$I$304,MATCH($A116,'Inventario General'!$A$5:$A$304,0))&amp;"","No está en el inventario"))</f>
        <v/>
      </c>
      <c r="E116" s="26"/>
      <c r="F116" s="26"/>
      <c r="G116" s="26"/>
      <c r="H116" s="29"/>
      <c r="I116" s="29"/>
      <c r="J116" s="44"/>
      <c r="K116" s="47"/>
      <c r="L116" s="26"/>
      <c r="M116" s="29"/>
      <c r="N116" s="26"/>
      <c r="O116" s="26"/>
      <c r="P116" s="26"/>
      <c r="Q116" s="26"/>
      <c r="R116" s="29"/>
      <c r="S116" s="26"/>
      <c r="T116" s="44"/>
      <c r="U116" s="26"/>
      <c r="V116" s="26"/>
      <c r="W116" s="27"/>
      <c r="X116" s="26"/>
    </row>
    <row r="117" spans="1:24" x14ac:dyDescent="0.25">
      <c r="A117" s="26"/>
      <c r="B117" s="25" t="str">
        <f>IF($A117="","",IFERROR(INDEX('Inventario General'!$C$5:$C$304,MATCH($A117,'Inventario General'!$A$5:$A$304,0))&amp;"","No está en el inventario"))</f>
        <v/>
      </c>
      <c r="C117" s="25" t="str">
        <f>IF($A117="","",IFERROR(INDEX('Inventario General'!$D$5:$D$304,MATCH($A117,'Inventario General'!$A$5:$A$304,0))&amp;"","No está en el inventario"))</f>
        <v/>
      </c>
      <c r="D117" s="25" t="str">
        <f>IF($A117="","",IFERROR(INDEX('Inventario General'!$I$5:$I$304,MATCH($A117,'Inventario General'!$A$5:$A$304,0))&amp;"","No está en el inventario"))</f>
        <v/>
      </c>
      <c r="E117" s="26"/>
      <c r="F117" s="26"/>
      <c r="G117" s="26"/>
      <c r="H117" s="29"/>
      <c r="I117" s="29"/>
      <c r="J117" s="44"/>
      <c r="K117" s="47"/>
      <c r="L117" s="26"/>
      <c r="M117" s="29"/>
      <c r="N117" s="26"/>
      <c r="O117" s="26"/>
      <c r="P117" s="26"/>
      <c r="Q117" s="26"/>
      <c r="R117" s="29"/>
      <c r="S117" s="26"/>
      <c r="T117" s="44"/>
      <c r="U117" s="26"/>
      <c r="V117" s="26"/>
      <c r="W117" s="27"/>
      <c r="X117" s="26"/>
    </row>
    <row r="118" spans="1:24" x14ac:dyDescent="0.25">
      <c r="A118" s="26"/>
      <c r="B118" s="25" t="str">
        <f>IF($A118="","",IFERROR(INDEX('Inventario General'!$C$5:$C$304,MATCH($A118,'Inventario General'!$A$5:$A$304,0))&amp;"","No está en el inventario"))</f>
        <v/>
      </c>
      <c r="C118" s="25" t="str">
        <f>IF($A118="","",IFERROR(INDEX('Inventario General'!$D$5:$D$304,MATCH($A118,'Inventario General'!$A$5:$A$304,0))&amp;"","No está en el inventario"))</f>
        <v/>
      </c>
      <c r="D118" s="25" t="str">
        <f>IF($A118="","",IFERROR(INDEX('Inventario General'!$I$5:$I$304,MATCH($A118,'Inventario General'!$A$5:$A$304,0))&amp;"","No está en el inventario"))</f>
        <v/>
      </c>
      <c r="E118" s="26"/>
      <c r="F118" s="26"/>
      <c r="G118" s="26"/>
      <c r="H118" s="29"/>
      <c r="I118" s="29"/>
      <c r="J118" s="44"/>
      <c r="K118" s="47"/>
      <c r="L118" s="26"/>
      <c r="M118" s="29"/>
      <c r="N118" s="26"/>
      <c r="O118" s="26"/>
      <c r="P118" s="26"/>
      <c r="Q118" s="26"/>
      <c r="R118" s="29"/>
      <c r="S118" s="26"/>
      <c r="T118" s="44"/>
      <c r="U118" s="26"/>
      <c r="V118" s="26"/>
      <c r="W118" s="27"/>
      <c r="X118" s="26"/>
    </row>
    <row r="119" spans="1:24" x14ac:dyDescent="0.25">
      <c r="A119" s="26"/>
      <c r="B119" s="25" t="str">
        <f>IF($A119="","",IFERROR(INDEX('Inventario General'!$C$5:$C$304,MATCH($A119,'Inventario General'!$A$5:$A$304,0))&amp;"","No está en el inventario"))</f>
        <v/>
      </c>
      <c r="C119" s="25" t="str">
        <f>IF($A119="","",IFERROR(INDEX('Inventario General'!$D$5:$D$304,MATCH($A119,'Inventario General'!$A$5:$A$304,0))&amp;"","No está en el inventario"))</f>
        <v/>
      </c>
      <c r="D119" s="25" t="str">
        <f>IF($A119="","",IFERROR(INDEX('Inventario General'!$I$5:$I$304,MATCH($A119,'Inventario General'!$A$5:$A$304,0))&amp;"","No está en el inventario"))</f>
        <v/>
      </c>
      <c r="E119" s="26"/>
      <c r="F119" s="26"/>
      <c r="G119" s="26"/>
      <c r="H119" s="29"/>
      <c r="I119" s="29"/>
      <c r="J119" s="44"/>
      <c r="K119" s="47"/>
      <c r="L119" s="26"/>
      <c r="M119" s="29"/>
      <c r="N119" s="26"/>
      <c r="O119" s="26"/>
      <c r="P119" s="26"/>
      <c r="Q119" s="26"/>
      <c r="R119" s="29"/>
      <c r="S119" s="26"/>
      <c r="T119" s="44"/>
      <c r="U119" s="26"/>
      <c r="V119" s="26"/>
      <c r="W119" s="27"/>
      <c r="X119" s="26"/>
    </row>
    <row r="120" spans="1:24" x14ac:dyDescent="0.25">
      <c r="A120" s="26"/>
      <c r="B120" s="25" t="str">
        <f>IF($A120="","",IFERROR(INDEX('Inventario General'!$C$5:$C$304,MATCH($A120,'Inventario General'!$A$5:$A$304,0))&amp;"","No está en el inventario"))</f>
        <v/>
      </c>
      <c r="C120" s="25" t="str">
        <f>IF($A120="","",IFERROR(INDEX('Inventario General'!$D$5:$D$304,MATCH($A120,'Inventario General'!$A$5:$A$304,0))&amp;"","No está en el inventario"))</f>
        <v/>
      </c>
      <c r="D120" s="25" t="str">
        <f>IF($A120="","",IFERROR(INDEX('Inventario General'!$I$5:$I$304,MATCH($A120,'Inventario General'!$A$5:$A$304,0))&amp;"","No está en el inventario"))</f>
        <v/>
      </c>
      <c r="E120" s="26"/>
      <c r="F120" s="26"/>
      <c r="G120" s="26"/>
      <c r="H120" s="29"/>
      <c r="I120" s="29"/>
      <c r="J120" s="44"/>
      <c r="K120" s="47"/>
      <c r="L120" s="26"/>
      <c r="M120" s="29"/>
      <c r="N120" s="26"/>
      <c r="O120" s="26"/>
      <c r="P120" s="26"/>
      <c r="Q120" s="26"/>
      <c r="R120" s="29"/>
      <c r="S120" s="26"/>
      <c r="T120" s="44"/>
      <c r="U120" s="26"/>
      <c r="V120" s="26"/>
      <c r="W120" s="27"/>
      <c r="X120" s="26"/>
    </row>
    <row r="121" spans="1:24" x14ac:dyDescent="0.25">
      <c r="A121" s="26"/>
      <c r="B121" s="25" t="str">
        <f>IF($A121="","",IFERROR(INDEX('Inventario General'!$C$5:$C$304,MATCH($A121,'Inventario General'!$A$5:$A$304,0))&amp;"","No está en el inventario"))</f>
        <v/>
      </c>
      <c r="C121" s="25" t="str">
        <f>IF($A121="","",IFERROR(INDEX('Inventario General'!$D$5:$D$304,MATCH($A121,'Inventario General'!$A$5:$A$304,0))&amp;"","No está en el inventario"))</f>
        <v/>
      </c>
      <c r="D121" s="25" t="str">
        <f>IF($A121="","",IFERROR(INDEX('Inventario General'!$I$5:$I$304,MATCH($A121,'Inventario General'!$A$5:$A$304,0))&amp;"","No está en el inventario"))</f>
        <v/>
      </c>
      <c r="E121" s="26"/>
      <c r="F121" s="26"/>
      <c r="G121" s="26"/>
      <c r="H121" s="29"/>
      <c r="I121" s="29"/>
      <c r="J121" s="44"/>
      <c r="K121" s="47"/>
      <c r="L121" s="26"/>
      <c r="M121" s="29"/>
      <c r="N121" s="26"/>
      <c r="O121" s="26"/>
      <c r="P121" s="26"/>
      <c r="Q121" s="26"/>
      <c r="R121" s="29"/>
      <c r="S121" s="26"/>
      <c r="T121" s="44"/>
      <c r="U121" s="26"/>
      <c r="V121" s="26"/>
      <c r="W121" s="27"/>
      <c r="X121" s="26"/>
    </row>
    <row r="122" spans="1:24" x14ac:dyDescent="0.25">
      <c r="A122" s="26"/>
      <c r="B122" s="25" t="str">
        <f>IF($A122="","",IFERROR(INDEX('Inventario General'!$C$5:$C$304,MATCH($A122,'Inventario General'!$A$5:$A$304,0))&amp;"","No está en el inventario"))</f>
        <v/>
      </c>
      <c r="C122" s="25" t="str">
        <f>IF($A122="","",IFERROR(INDEX('Inventario General'!$D$5:$D$304,MATCH($A122,'Inventario General'!$A$5:$A$304,0))&amp;"","No está en el inventario"))</f>
        <v/>
      </c>
      <c r="D122" s="25" t="str">
        <f>IF($A122="","",IFERROR(INDEX('Inventario General'!$I$5:$I$304,MATCH($A122,'Inventario General'!$A$5:$A$304,0))&amp;"","No está en el inventario"))</f>
        <v/>
      </c>
      <c r="E122" s="26"/>
      <c r="F122" s="26"/>
      <c r="G122" s="26"/>
      <c r="H122" s="29"/>
      <c r="I122" s="29"/>
      <c r="J122" s="44"/>
      <c r="K122" s="47"/>
      <c r="L122" s="26"/>
      <c r="M122" s="29"/>
      <c r="N122" s="26"/>
      <c r="O122" s="26"/>
      <c r="P122" s="26"/>
      <c r="Q122" s="26"/>
      <c r="R122" s="29"/>
      <c r="S122" s="26"/>
      <c r="T122" s="44"/>
      <c r="U122" s="26"/>
      <c r="V122" s="26"/>
      <c r="W122" s="27"/>
      <c r="X122" s="26"/>
    </row>
    <row r="123" spans="1:24" x14ac:dyDescent="0.25">
      <c r="A123" s="26"/>
      <c r="B123" s="25" t="str">
        <f>IF($A123="","",IFERROR(INDEX('Inventario General'!$C$5:$C$304,MATCH($A123,'Inventario General'!$A$5:$A$304,0))&amp;"","No está en el inventario"))</f>
        <v/>
      </c>
      <c r="C123" s="25" t="str">
        <f>IF($A123="","",IFERROR(INDEX('Inventario General'!$D$5:$D$304,MATCH($A123,'Inventario General'!$A$5:$A$304,0))&amp;"","No está en el inventario"))</f>
        <v/>
      </c>
      <c r="D123" s="25" t="str">
        <f>IF($A123="","",IFERROR(INDEX('Inventario General'!$I$5:$I$304,MATCH($A123,'Inventario General'!$A$5:$A$304,0))&amp;"","No está en el inventario"))</f>
        <v/>
      </c>
      <c r="E123" s="26"/>
      <c r="F123" s="26"/>
      <c r="G123" s="26"/>
      <c r="H123" s="29"/>
      <c r="I123" s="29"/>
      <c r="J123" s="44"/>
      <c r="K123" s="47"/>
      <c r="L123" s="26"/>
      <c r="M123" s="29"/>
      <c r="N123" s="26"/>
      <c r="O123" s="26"/>
      <c r="P123" s="26"/>
      <c r="Q123" s="26"/>
      <c r="R123" s="29"/>
      <c r="S123" s="26"/>
      <c r="T123" s="44"/>
      <c r="U123" s="26"/>
      <c r="V123" s="26"/>
      <c r="W123" s="27"/>
      <c r="X123" s="26"/>
    </row>
    <row r="124" spans="1:24" x14ac:dyDescent="0.25">
      <c r="A124" s="26"/>
      <c r="B124" s="25" t="str">
        <f>IF($A124="","",IFERROR(INDEX('Inventario General'!$C$5:$C$304,MATCH($A124,'Inventario General'!$A$5:$A$304,0))&amp;"","No está en el inventario"))</f>
        <v/>
      </c>
      <c r="C124" s="25" t="str">
        <f>IF($A124="","",IFERROR(INDEX('Inventario General'!$D$5:$D$304,MATCH($A124,'Inventario General'!$A$5:$A$304,0))&amp;"","No está en el inventario"))</f>
        <v/>
      </c>
      <c r="D124" s="25" t="str">
        <f>IF($A124="","",IFERROR(INDEX('Inventario General'!$I$5:$I$304,MATCH($A124,'Inventario General'!$A$5:$A$304,0))&amp;"","No está en el inventario"))</f>
        <v/>
      </c>
      <c r="E124" s="26"/>
      <c r="F124" s="26"/>
      <c r="G124" s="26"/>
      <c r="H124" s="29"/>
      <c r="I124" s="29"/>
      <c r="J124" s="44"/>
      <c r="K124" s="47"/>
      <c r="L124" s="26"/>
      <c r="M124" s="29"/>
      <c r="N124" s="26"/>
      <c r="O124" s="26"/>
      <c r="P124" s="26"/>
      <c r="Q124" s="26"/>
      <c r="R124" s="29"/>
      <c r="S124" s="26"/>
      <c r="T124" s="44"/>
      <c r="U124" s="26"/>
      <c r="V124" s="26"/>
      <c r="W124" s="27"/>
      <c r="X124" s="26"/>
    </row>
    <row r="125" spans="1:24" x14ac:dyDescent="0.25">
      <c r="A125" s="26"/>
      <c r="B125" s="25" t="str">
        <f>IF($A125="","",IFERROR(INDEX('Inventario General'!$C$5:$C$304,MATCH($A125,'Inventario General'!$A$5:$A$304,0))&amp;"","No está en el inventario"))</f>
        <v/>
      </c>
      <c r="C125" s="25" t="str">
        <f>IF($A125="","",IFERROR(INDEX('Inventario General'!$D$5:$D$304,MATCH($A125,'Inventario General'!$A$5:$A$304,0))&amp;"","No está en el inventario"))</f>
        <v/>
      </c>
      <c r="D125" s="25" t="str">
        <f>IF($A125="","",IFERROR(INDEX('Inventario General'!$I$5:$I$304,MATCH($A125,'Inventario General'!$A$5:$A$304,0))&amp;"","No está en el inventario"))</f>
        <v/>
      </c>
      <c r="E125" s="26"/>
      <c r="F125" s="26"/>
      <c r="G125" s="26"/>
      <c r="H125" s="29"/>
      <c r="I125" s="29"/>
      <c r="J125" s="44"/>
      <c r="K125" s="47"/>
      <c r="L125" s="26"/>
      <c r="M125" s="29"/>
      <c r="N125" s="26"/>
      <c r="O125" s="26"/>
      <c r="P125" s="26"/>
      <c r="Q125" s="26"/>
      <c r="R125" s="29"/>
      <c r="S125" s="26"/>
      <c r="T125" s="44"/>
      <c r="U125" s="26"/>
      <c r="V125" s="26"/>
      <c r="W125" s="27"/>
      <c r="X125" s="26"/>
    </row>
    <row r="126" spans="1:24" x14ac:dyDescent="0.25">
      <c r="A126" s="26"/>
      <c r="B126" s="25" t="str">
        <f>IF($A126="","",IFERROR(INDEX('Inventario General'!$C$5:$C$304,MATCH($A126,'Inventario General'!$A$5:$A$304,0))&amp;"","No está en el inventario"))</f>
        <v/>
      </c>
      <c r="C126" s="25" t="str">
        <f>IF($A126="","",IFERROR(INDEX('Inventario General'!$D$5:$D$304,MATCH($A126,'Inventario General'!$A$5:$A$304,0))&amp;"","No está en el inventario"))</f>
        <v/>
      </c>
      <c r="D126" s="25" t="str">
        <f>IF($A126="","",IFERROR(INDEX('Inventario General'!$I$5:$I$304,MATCH($A126,'Inventario General'!$A$5:$A$304,0))&amp;"","No está en el inventario"))</f>
        <v/>
      </c>
      <c r="E126" s="26"/>
      <c r="F126" s="26"/>
      <c r="G126" s="26"/>
      <c r="H126" s="29"/>
      <c r="I126" s="29"/>
      <c r="J126" s="44"/>
      <c r="K126" s="47"/>
      <c r="L126" s="26"/>
      <c r="M126" s="29"/>
      <c r="N126" s="26"/>
      <c r="O126" s="26"/>
      <c r="P126" s="26"/>
      <c r="Q126" s="26"/>
      <c r="R126" s="29"/>
      <c r="S126" s="26"/>
      <c r="T126" s="44"/>
      <c r="U126" s="26"/>
      <c r="V126" s="26"/>
      <c r="W126" s="27"/>
      <c r="X126" s="26"/>
    </row>
    <row r="127" spans="1:24" x14ac:dyDescent="0.25">
      <c r="A127" s="26"/>
      <c r="B127" s="25" t="str">
        <f>IF($A127="","",IFERROR(INDEX('Inventario General'!$C$5:$C$304,MATCH($A127,'Inventario General'!$A$5:$A$304,0))&amp;"","No está en el inventario"))</f>
        <v/>
      </c>
      <c r="C127" s="25" t="str">
        <f>IF($A127="","",IFERROR(INDEX('Inventario General'!$D$5:$D$304,MATCH($A127,'Inventario General'!$A$5:$A$304,0))&amp;"","No está en el inventario"))</f>
        <v/>
      </c>
      <c r="D127" s="25" t="str">
        <f>IF($A127="","",IFERROR(INDEX('Inventario General'!$I$5:$I$304,MATCH($A127,'Inventario General'!$A$5:$A$304,0))&amp;"","No está en el inventario"))</f>
        <v/>
      </c>
      <c r="E127" s="26"/>
      <c r="F127" s="26"/>
      <c r="G127" s="26"/>
      <c r="H127" s="29"/>
      <c r="I127" s="29"/>
      <c r="J127" s="44"/>
      <c r="K127" s="47"/>
      <c r="L127" s="26"/>
      <c r="M127" s="29"/>
      <c r="N127" s="26"/>
      <c r="O127" s="26"/>
      <c r="P127" s="26"/>
      <c r="Q127" s="26"/>
      <c r="R127" s="29"/>
      <c r="S127" s="26"/>
      <c r="T127" s="44"/>
      <c r="U127" s="26"/>
      <c r="V127" s="26"/>
      <c r="W127" s="27"/>
      <c r="X127" s="26"/>
    </row>
    <row r="128" spans="1:24" x14ac:dyDescent="0.25">
      <c r="A128" s="26"/>
      <c r="B128" s="25" t="str">
        <f>IF($A128="","",IFERROR(INDEX('Inventario General'!$C$5:$C$304,MATCH($A128,'Inventario General'!$A$5:$A$304,0))&amp;"","No está en el inventario"))</f>
        <v/>
      </c>
      <c r="C128" s="25" t="str">
        <f>IF($A128="","",IFERROR(INDEX('Inventario General'!$D$5:$D$304,MATCH($A128,'Inventario General'!$A$5:$A$304,0))&amp;"","No está en el inventario"))</f>
        <v/>
      </c>
      <c r="D128" s="25" t="str">
        <f>IF($A128="","",IFERROR(INDEX('Inventario General'!$I$5:$I$304,MATCH($A128,'Inventario General'!$A$5:$A$304,0))&amp;"","No está en el inventario"))</f>
        <v/>
      </c>
      <c r="E128" s="26"/>
      <c r="F128" s="26"/>
      <c r="G128" s="26"/>
      <c r="H128" s="29"/>
      <c r="I128" s="29"/>
      <c r="J128" s="44"/>
      <c r="K128" s="47"/>
      <c r="L128" s="26"/>
      <c r="M128" s="29"/>
      <c r="N128" s="26"/>
      <c r="O128" s="26"/>
      <c r="P128" s="26"/>
      <c r="Q128" s="26"/>
      <c r="R128" s="29"/>
      <c r="S128" s="26"/>
      <c r="T128" s="44"/>
      <c r="U128" s="26"/>
      <c r="V128" s="26"/>
      <c r="W128" s="27"/>
      <c r="X128" s="26"/>
    </row>
    <row r="129" spans="1:24" x14ac:dyDescent="0.25">
      <c r="A129" s="26"/>
      <c r="B129" s="25" t="str">
        <f>IF($A129="","",IFERROR(INDEX('Inventario General'!$C$5:$C$304,MATCH($A129,'Inventario General'!$A$5:$A$304,0))&amp;"","No está en el inventario"))</f>
        <v/>
      </c>
      <c r="C129" s="25" t="str">
        <f>IF($A129="","",IFERROR(INDEX('Inventario General'!$D$5:$D$304,MATCH($A129,'Inventario General'!$A$5:$A$304,0))&amp;"","No está en el inventario"))</f>
        <v/>
      </c>
      <c r="D129" s="25" t="str">
        <f>IF($A129="","",IFERROR(INDEX('Inventario General'!$I$5:$I$304,MATCH($A129,'Inventario General'!$A$5:$A$304,0))&amp;"","No está en el inventario"))</f>
        <v/>
      </c>
      <c r="E129" s="26"/>
      <c r="F129" s="26"/>
      <c r="G129" s="26"/>
      <c r="H129" s="29"/>
      <c r="I129" s="29"/>
      <c r="J129" s="44"/>
      <c r="K129" s="47"/>
      <c r="L129" s="26"/>
      <c r="M129" s="29"/>
      <c r="N129" s="26"/>
      <c r="O129" s="26"/>
      <c r="P129" s="26"/>
      <c r="Q129" s="26"/>
      <c r="R129" s="29"/>
      <c r="S129" s="26"/>
      <c r="T129" s="44"/>
      <c r="U129" s="26"/>
      <c r="V129" s="26"/>
      <c r="W129" s="27"/>
      <c r="X129" s="26"/>
    </row>
    <row r="130" spans="1:24" x14ac:dyDescent="0.25">
      <c r="A130" s="26"/>
      <c r="B130" s="25" t="str">
        <f>IF($A130="","",IFERROR(INDEX('Inventario General'!$C$5:$C$304,MATCH($A130,'Inventario General'!$A$5:$A$304,0))&amp;"","No está en el inventario"))</f>
        <v/>
      </c>
      <c r="C130" s="25" t="str">
        <f>IF($A130="","",IFERROR(INDEX('Inventario General'!$D$5:$D$304,MATCH($A130,'Inventario General'!$A$5:$A$304,0))&amp;"","No está en el inventario"))</f>
        <v/>
      </c>
      <c r="D130" s="25" t="str">
        <f>IF($A130="","",IFERROR(INDEX('Inventario General'!$I$5:$I$304,MATCH($A130,'Inventario General'!$A$5:$A$304,0))&amp;"","No está en el inventario"))</f>
        <v/>
      </c>
      <c r="E130" s="26"/>
      <c r="F130" s="26"/>
      <c r="G130" s="26"/>
      <c r="H130" s="29"/>
      <c r="I130" s="29"/>
      <c r="J130" s="44"/>
      <c r="K130" s="47"/>
      <c r="L130" s="26"/>
      <c r="M130" s="29"/>
      <c r="N130" s="26"/>
      <c r="O130" s="26"/>
      <c r="P130" s="26"/>
      <c r="Q130" s="26"/>
      <c r="R130" s="29"/>
      <c r="S130" s="26"/>
      <c r="T130" s="44"/>
      <c r="U130" s="26"/>
      <c r="V130" s="26"/>
      <c r="W130" s="27"/>
      <c r="X130" s="26"/>
    </row>
    <row r="131" spans="1:24" x14ac:dyDescent="0.25">
      <c r="A131" s="26"/>
      <c r="B131" s="25" t="str">
        <f>IF($A131="","",IFERROR(INDEX('Inventario General'!$C$5:$C$304,MATCH($A131,'Inventario General'!$A$5:$A$304,0))&amp;"","No está en el inventario"))</f>
        <v/>
      </c>
      <c r="C131" s="25" t="str">
        <f>IF($A131="","",IFERROR(INDEX('Inventario General'!$D$5:$D$304,MATCH($A131,'Inventario General'!$A$5:$A$304,0))&amp;"","No está en el inventario"))</f>
        <v/>
      </c>
      <c r="D131" s="25" t="str">
        <f>IF($A131="","",IFERROR(INDEX('Inventario General'!$I$5:$I$304,MATCH($A131,'Inventario General'!$A$5:$A$304,0))&amp;"","No está en el inventario"))</f>
        <v/>
      </c>
      <c r="E131" s="26"/>
      <c r="F131" s="26"/>
      <c r="G131" s="26"/>
      <c r="H131" s="29"/>
      <c r="I131" s="29"/>
      <c r="J131" s="44"/>
      <c r="K131" s="47"/>
      <c r="L131" s="26"/>
      <c r="M131" s="29"/>
      <c r="N131" s="26"/>
      <c r="O131" s="26"/>
      <c r="P131" s="26"/>
      <c r="Q131" s="26"/>
      <c r="R131" s="29"/>
      <c r="S131" s="26"/>
      <c r="T131" s="44"/>
      <c r="U131" s="26"/>
      <c r="V131" s="26"/>
      <c r="W131" s="27"/>
      <c r="X131" s="26"/>
    </row>
    <row r="132" spans="1:24" x14ac:dyDescent="0.25">
      <c r="A132" s="26"/>
      <c r="B132" s="25" t="str">
        <f>IF($A132="","",IFERROR(INDEX('Inventario General'!$C$5:$C$304,MATCH($A132,'Inventario General'!$A$5:$A$304,0))&amp;"","No está en el inventario"))</f>
        <v/>
      </c>
      <c r="C132" s="25" t="str">
        <f>IF($A132="","",IFERROR(INDEX('Inventario General'!$D$5:$D$304,MATCH($A132,'Inventario General'!$A$5:$A$304,0))&amp;"","No está en el inventario"))</f>
        <v/>
      </c>
      <c r="D132" s="25" t="str">
        <f>IF($A132="","",IFERROR(INDEX('Inventario General'!$I$5:$I$304,MATCH($A132,'Inventario General'!$A$5:$A$304,0))&amp;"","No está en el inventario"))</f>
        <v/>
      </c>
      <c r="E132" s="26"/>
      <c r="F132" s="26"/>
      <c r="G132" s="26"/>
      <c r="H132" s="29"/>
      <c r="I132" s="29"/>
      <c r="J132" s="44"/>
      <c r="K132" s="47"/>
      <c r="L132" s="26"/>
      <c r="M132" s="29"/>
      <c r="N132" s="26"/>
      <c r="O132" s="26"/>
      <c r="P132" s="26"/>
      <c r="Q132" s="26"/>
      <c r="R132" s="29"/>
      <c r="S132" s="26"/>
      <c r="T132" s="44"/>
      <c r="U132" s="26"/>
      <c r="V132" s="26"/>
      <c r="W132" s="27"/>
      <c r="X132" s="26"/>
    </row>
    <row r="133" spans="1:24" x14ac:dyDescent="0.25">
      <c r="A133" s="26"/>
      <c r="B133" s="25" t="str">
        <f>IF($A133="","",IFERROR(INDEX('Inventario General'!$C$5:$C$304,MATCH($A133,'Inventario General'!$A$5:$A$304,0))&amp;"","No está en el inventario"))</f>
        <v/>
      </c>
      <c r="C133" s="25" t="str">
        <f>IF($A133="","",IFERROR(INDEX('Inventario General'!$D$5:$D$304,MATCH($A133,'Inventario General'!$A$5:$A$304,0))&amp;"","No está en el inventario"))</f>
        <v/>
      </c>
      <c r="D133" s="25" t="str">
        <f>IF($A133="","",IFERROR(INDEX('Inventario General'!$I$5:$I$304,MATCH($A133,'Inventario General'!$A$5:$A$304,0))&amp;"","No está en el inventario"))</f>
        <v/>
      </c>
      <c r="E133" s="26"/>
      <c r="F133" s="26"/>
      <c r="G133" s="26"/>
      <c r="H133" s="29"/>
      <c r="I133" s="29"/>
      <c r="J133" s="44"/>
      <c r="K133" s="47"/>
      <c r="L133" s="26"/>
      <c r="M133" s="29"/>
      <c r="N133" s="26"/>
      <c r="O133" s="26"/>
      <c r="P133" s="26"/>
      <c r="Q133" s="26"/>
      <c r="R133" s="29"/>
      <c r="S133" s="26"/>
      <c r="T133" s="44"/>
      <c r="U133" s="26"/>
      <c r="V133" s="26"/>
      <c r="W133" s="27"/>
      <c r="X133" s="26"/>
    </row>
    <row r="134" spans="1:24" x14ac:dyDescent="0.25">
      <c r="A134" s="26"/>
      <c r="B134" s="25" t="str">
        <f>IF($A134="","",IFERROR(INDEX('Inventario General'!$C$5:$C$304,MATCH($A134,'Inventario General'!$A$5:$A$304,0))&amp;"","No está en el inventario"))</f>
        <v/>
      </c>
      <c r="C134" s="25" t="str">
        <f>IF($A134="","",IFERROR(INDEX('Inventario General'!$D$5:$D$304,MATCH($A134,'Inventario General'!$A$5:$A$304,0))&amp;"","No está en el inventario"))</f>
        <v/>
      </c>
      <c r="D134" s="25" t="str">
        <f>IF($A134="","",IFERROR(INDEX('Inventario General'!$I$5:$I$304,MATCH($A134,'Inventario General'!$A$5:$A$304,0))&amp;"","No está en el inventario"))</f>
        <v/>
      </c>
      <c r="E134" s="26"/>
      <c r="F134" s="26"/>
      <c r="G134" s="26"/>
      <c r="H134" s="29"/>
      <c r="I134" s="29"/>
      <c r="J134" s="44"/>
      <c r="K134" s="47"/>
      <c r="L134" s="26"/>
      <c r="M134" s="29"/>
      <c r="N134" s="26"/>
      <c r="O134" s="26"/>
      <c r="P134" s="26"/>
      <c r="Q134" s="26"/>
      <c r="R134" s="29"/>
      <c r="S134" s="26"/>
      <c r="T134" s="44"/>
      <c r="U134" s="26"/>
      <c r="V134" s="26"/>
      <c r="W134" s="27"/>
      <c r="X134" s="26"/>
    </row>
    <row r="135" spans="1:24" x14ac:dyDescent="0.25">
      <c r="A135" s="26"/>
      <c r="B135" s="25" t="str">
        <f>IF($A135="","",IFERROR(INDEX('Inventario General'!$C$5:$C$304,MATCH($A135,'Inventario General'!$A$5:$A$304,0))&amp;"","No está en el inventario"))</f>
        <v/>
      </c>
      <c r="C135" s="25" t="str">
        <f>IF($A135="","",IFERROR(INDEX('Inventario General'!$D$5:$D$304,MATCH($A135,'Inventario General'!$A$5:$A$304,0))&amp;"","No está en el inventario"))</f>
        <v/>
      </c>
      <c r="D135" s="25" t="str">
        <f>IF($A135="","",IFERROR(INDEX('Inventario General'!$I$5:$I$304,MATCH($A135,'Inventario General'!$A$5:$A$304,0))&amp;"","No está en el inventario"))</f>
        <v/>
      </c>
      <c r="E135" s="26"/>
      <c r="F135" s="26"/>
      <c r="G135" s="26"/>
      <c r="H135" s="29"/>
      <c r="I135" s="29"/>
      <c r="J135" s="44"/>
      <c r="K135" s="47"/>
      <c r="L135" s="26"/>
      <c r="M135" s="29"/>
      <c r="N135" s="26"/>
      <c r="O135" s="26"/>
      <c r="P135" s="26"/>
      <c r="Q135" s="26"/>
      <c r="R135" s="29"/>
      <c r="S135" s="26"/>
      <c r="T135" s="44"/>
      <c r="U135" s="26"/>
      <c r="V135" s="26"/>
      <c r="W135" s="27"/>
      <c r="X135" s="26"/>
    </row>
    <row r="136" spans="1:24" x14ac:dyDescent="0.25">
      <c r="A136" s="26"/>
      <c r="B136" s="25" t="str">
        <f>IF($A136="","",IFERROR(INDEX('Inventario General'!$C$5:$C$304,MATCH($A136,'Inventario General'!$A$5:$A$304,0))&amp;"","No está en el inventario"))</f>
        <v/>
      </c>
      <c r="C136" s="25" t="str">
        <f>IF($A136="","",IFERROR(INDEX('Inventario General'!$D$5:$D$304,MATCH($A136,'Inventario General'!$A$5:$A$304,0))&amp;"","No está en el inventario"))</f>
        <v/>
      </c>
      <c r="D136" s="25" t="str">
        <f>IF($A136="","",IFERROR(INDEX('Inventario General'!$I$5:$I$304,MATCH($A136,'Inventario General'!$A$5:$A$304,0))&amp;"","No está en el inventario"))</f>
        <v/>
      </c>
      <c r="E136" s="26"/>
      <c r="F136" s="26"/>
      <c r="G136" s="26"/>
      <c r="H136" s="29"/>
      <c r="I136" s="29"/>
      <c r="J136" s="44"/>
      <c r="K136" s="47"/>
      <c r="L136" s="26"/>
      <c r="M136" s="29"/>
      <c r="N136" s="26"/>
      <c r="O136" s="26"/>
      <c r="P136" s="26"/>
      <c r="Q136" s="26"/>
      <c r="R136" s="29"/>
      <c r="S136" s="26"/>
      <c r="T136" s="44"/>
      <c r="U136" s="26"/>
      <c r="V136" s="26"/>
      <c r="W136" s="27"/>
      <c r="X136" s="26"/>
    </row>
    <row r="137" spans="1:24" x14ac:dyDescent="0.25">
      <c r="A137" s="26"/>
      <c r="B137" s="25" t="str">
        <f>IF($A137="","",IFERROR(INDEX('Inventario General'!$C$5:$C$304,MATCH($A137,'Inventario General'!$A$5:$A$304,0))&amp;"","No está en el inventario"))</f>
        <v/>
      </c>
      <c r="C137" s="25" t="str">
        <f>IF($A137="","",IFERROR(INDEX('Inventario General'!$D$5:$D$304,MATCH($A137,'Inventario General'!$A$5:$A$304,0))&amp;"","No está en el inventario"))</f>
        <v/>
      </c>
      <c r="D137" s="25" t="str">
        <f>IF($A137="","",IFERROR(INDEX('Inventario General'!$I$5:$I$304,MATCH($A137,'Inventario General'!$A$5:$A$304,0))&amp;"","No está en el inventario"))</f>
        <v/>
      </c>
      <c r="E137" s="26"/>
      <c r="F137" s="26"/>
      <c r="G137" s="26"/>
      <c r="H137" s="29"/>
      <c r="I137" s="29"/>
      <c r="J137" s="44"/>
      <c r="K137" s="47"/>
      <c r="L137" s="26"/>
      <c r="M137" s="29"/>
      <c r="N137" s="26"/>
      <c r="O137" s="26"/>
      <c r="P137" s="26"/>
      <c r="Q137" s="26"/>
      <c r="R137" s="29"/>
      <c r="S137" s="26"/>
      <c r="T137" s="44"/>
      <c r="U137" s="26"/>
      <c r="V137" s="26"/>
      <c r="W137" s="27"/>
      <c r="X137" s="26"/>
    </row>
    <row r="138" spans="1:24" x14ac:dyDescent="0.25">
      <c r="A138" s="26"/>
      <c r="B138" s="25" t="str">
        <f>IF($A138="","",IFERROR(INDEX('Inventario General'!$C$5:$C$304,MATCH($A138,'Inventario General'!$A$5:$A$304,0))&amp;"","No está en el inventario"))</f>
        <v/>
      </c>
      <c r="C138" s="25" t="str">
        <f>IF($A138="","",IFERROR(INDEX('Inventario General'!$D$5:$D$304,MATCH($A138,'Inventario General'!$A$5:$A$304,0))&amp;"","No está en el inventario"))</f>
        <v/>
      </c>
      <c r="D138" s="25" t="str">
        <f>IF($A138="","",IFERROR(INDEX('Inventario General'!$I$5:$I$304,MATCH($A138,'Inventario General'!$A$5:$A$304,0))&amp;"","No está en el inventario"))</f>
        <v/>
      </c>
      <c r="E138" s="26"/>
      <c r="F138" s="26"/>
      <c r="G138" s="26"/>
      <c r="H138" s="29"/>
      <c r="I138" s="29"/>
      <c r="J138" s="44"/>
      <c r="K138" s="47"/>
      <c r="L138" s="26"/>
      <c r="M138" s="29"/>
      <c r="N138" s="26"/>
      <c r="O138" s="26"/>
      <c r="P138" s="26"/>
      <c r="Q138" s="26"/>
      <c r="R138" s="29"/>
      <c r="S138" s="26"/>
      <c r="T138" s="44"/>
      <c r="U138" s="26"/>
      <c r="V138" s="26"/>
      <c r="W138" s="27"/>
      <c r="X138" s="26"/>
    </row>
    <row r="139" spans="1:24" x14ac:dyDescent="0.25">
      <c r="A139" s="26"/>
      <c r="B139" s="25" t="str">
        <f>IF($A139="","",IFERROR(INDEX('Inventario General'!$C$5:$C$304,MATCH($A139,'Inventario General'!$A$5:$A$304,0))&amp;"","No está en el inventario"))</f>
        <v/>
      </c>
      <c r="C139" s="25" t="str">
        <f>IF($A139="","",IFERROR(INDEX('Inventario General'!$D$5:$D$304,MATCH($A139,'Inventario General'!$A$5:$A$304,0))&amp;"","No está en el inventario"))</f>
        <v/>
      </c>
      <c r="D139" s="25" t="str">
        <f>IF($A139="","",IFERROR(INDEX('Inventario General'!$I$5:$I$304,MATCH($A139,'Inventario General'!$A$5:$A$304,0))&amp;"","No está en el inventario"))</f>
        <v/>
      </c>
      <c r="E139" s="26"/>
      <c r="F139" s="26"/>
      <c r="G139" s="26"/>
      <c r="H139" s="29"/>
      <c r="I139" s="29"/>
      <c r="J139" s="44"/>
      <c r="K139" s="47"/>
      <c r="L139" s="26"/>
      <c r="M139" s="29"/>
      <c r="N139" s="26"/>
      <c r="O139" s="26"/>
      <c r="P139" s="26"/>
      <c r="Q139" s="26"/>
      <c r="R139" s="29"/>
      <c r="S139" s="26"/>
      <c r="T139" s="44"/>
      <c r="U139" s="26"/>
      <c r="V139" s="26"/>
      <c r="W139" s="27"/>
      <c r="X139" s="26"/>
    </row>
    <row r="140" spans="1:24" x14ac:dyDescent="0.25">
      <c r="A140" s="26"/>
      <c r="B140" s="25" t="str">
        <f>IF($A140="","",IFERROR(INDEX('Inventario General'!$C$5:$C$304,MATCH($A140,'Inventario General'!$A$5:$A$304,0))&amp;"","No está en el inventario"))</f>
        <v/>
      </c>
      <c r="C140" s="25" t="str">
        <f>IF($A140="","",IFERROR(INDEX('Inventario General'!$D$5:$D$304,MATCH($A140,'Inventario General'!$A$5:$A$304,0))&amp;"","No está en el inventario"))</f>
        <v/>
      </c>
      <c r="D140" s="25" t="str">
        <f>IF($A140="","",IFERROR(INDEX('Inventario General'!$I$5:$I$304,MATCH($A140,'Inventario General'!$A$5:$A$304,0))&amp;"","No está en el inventario"))</f>
        <v/>
      </c>
      <c r="E140" s="26"/>
      <c r="F140" s="26"/>
      <c r="G140" s="26"/>
      <c r="H140" s="29"/>
      <c r="I140" s="29"/>
      <c r="J140" s="44"/>
      <c r="K140" s="47"/>
      <c r="L140" s="26"/>
      <c r="M140" s="29"/>
      <c r="N140" s="26"/>
      <c r="O140" s="26"/>
      <c r="P140" s="26"/>
      <c r="Q140" s="26"/>
      <c r="R140" s="29"/>
      <c r="S140" s="26"/>
      <c r="T140" s="44"/>
      <c r="U140" s="26"/>
      <c r="V140" s="26"/>
      <c r="W140" s="27"/>
      <c r="X140" s="26"/>
    </row>
    <row r="141" spans="1:24" x14ac:dyDescent="0.25">
      <c r="A141" s="26"/>
      <c r="B141" s="25" t="str">
        <f>IF($A141="","",IFERROR(INDEX('Inventario General'!$C$5:$C$304,MATCH($A141,'Inventario General'!$A$5:$A$304,0))&amp;"","No está en el inventario"))</f>
        <v/>
      </c>
      <c r="C141" s="25" t="str">
        <f>IF($A141="","",IFERROR(INDEX('Inventario General'!$D$5:$D$304,MATCH($A141,'Inventario General'!$A$5:$A$304,0))&amp;"","No está en el inventario"))</f>
        <v/>
      </c>
      <c r="D141" s="25" t="str">
        <f>IF($A141="","",IFERROR(INDEX('Inventario General'!$I$5:$I$304,MATCH($A141,'Inventario General'!$A$5:$A$304,0))&amp;"","No está en el inventario"))</f>
        <v/>
      </c>
      <c r="E141" s="26"/>
      <c r="F141" s="26"/>
      <c r="G141" s="26"/>
      <c r="H141" s="29"/>
      <c r="I141" s="29"/>
      <c r="J141" s="44"/>
      <c r="K141" s="47"/>
      <c r="L141" s="26"/>
      <c r="M141" s="29"/>
      <c r="N141" s="26"/>
      <c r="O141" s="26"/>
      <c r="P141" s="26"/>
      <c r="Q141" s="26"/>
      <c r="R141" s="29"/>
      <c r="S141" s="26"/>
      <c r="T141" s="44"/>
      <c r="U141" s="26"/>
      <c r="V141" s="26"/>
      <c r="W141" s="27"/>
      <c r="X141" s="26"/>
    </row>
    <row r="142" spans="1:24" x14ac:dyDescent="0.25">
      <c r="A142" s="26"/>
      <c r="B142" s="25" t="str">
        <f>IF($A142="","",IFERROR(INDEX('Inventario General'!$C$5:$C$304,MATCH($A142,'Inventario General'!$A$5:$A$304,0))&amp;"","No está en el inventario"))</f>
        <v/>
      </c>
      <c r="C142" s="25" t="str">
        <f>IF($A142="","",IFERROR(INDEX('Inventario General'!$D$5:$D$304,MATCH($A142,'Inventario General'!$A$5:$A$304,0))&amp;"","No está en el inventario"))</f>
        <v/>
      </c>
      <c r="D142" s="25" t="str">
        <f>IF($A142="","",IFERROR(INDEX('Inventario General'!$I$5:$I$304,MATCH($A142,'Inventario General'!$A$5:$A$304,0))&amp;"","No está en el inventario"))</f>
        <v/>
      </c>
      <c r="E142" s="26"/>
      <c r="F142" s="26"/>
      <c r="G142" s="26"/>
      <c r="H142" s="29"/>
      <c r="I142" s="29"/>
      <c r="J142" s="44"/>
      <c r="K142" s="47"/>
      <c r="L142" s="26"/>
      <c r="M142" s="29"/>
      <c r="N142" s="26"/>
      <c r="O142" s="26"/>
      <c r="P142" s="26"/>
      <c r="Q142" s="26"/>
      <c r="R142" s="29"/>
      <c r="S142" s="26"/>
      <c r="T142" s="44"/>
      <c r="U142" s="26"/>
      <c r="V142" s="26"/>
      <c r="W142" s="27"/>
      <c r="X142" s="26"/>
    </row>
    <row r="143" spans="1:24" x14ac:dyDescent="0.25">
      <c r="A143" s="26"/>
      <c r="B143" s="25" t="str">
        <f>IF($A143="","",IFERROR(INDEX('Inventario General'!$C$5:$C$304,MATCH($A143,'Inventario General'!$A$5:$A$304,0))&amp;"","No está en el inventario"))</f>
        <v/>
      </c>
      <c r="C143" s="25" t="str">
        <f>IF($A143="","",IFERROR(INDEX('Inventario General'!$D$5:$D$304,MATCH($A143,'Inventario General'!$A$5:$A$304,0))&amp;"","No está en el inventario"))</f>
        <v/>
      </c>
      <c r="D143" s="25" t="str">
        <f>IF($A143="","",IFERROR(INDEX('Inventario General'!$I$5:$I$304,MATCH($A143,'Inventario General'!$A$5:$A$304,0))&amp;"","No está en el inventario"))</f>
        <v/>
      </c>
      <c r="E143" s="26"/>
      <c r="F143" s="26"/>
      <c r="G143" s="26"/>
      <c r="H143" s="29"/>
      <c r="I143" s="29"/>
      <c r="J143" s="44"/>
      <c r="K143" s="47"/>
      <c r="L143" s="26"/>
      <c r="M143" s="29"/>
      <c r="N143" s="26"/>
      <c r="O143" s="26"/>
      <c r="P143" s="26"/>
      <c r="Q143" s="26"/>
      <c r="R143" s="29"/>
      <c r="S143" s="26"/>
      <c r="T143" s="44"/>
      <c r="U143" s="26"/>
      <c r="V143" s="26"/>
      <c r="W143" s="27"/>
      <c r="X143" s="26"/>
    </row>
    <row r="144" spans="1:24" x14ac:dyDescent="0.25">
      <c r="A144" s="26"/>
      <c r="B144" s="25" t="str">
        <f>IF($A144="","",IFERROR(INDEX('Inventario General'!$C$5:$C$304,MATCH($A144,'Inventario General'!$A$5:$A$304,0))&amp;"","No está en el inventario"))</f>
        <v/>
      </c>
      <c r="C144" s="25" t="str">
        <f>IF($A144="","",IFERROR(INDEX('Inventario General'!$D$5:$D$304,MATCH($A144,'Inventario General'!$A$5:$A$304,0))&amp;"","No está en el inventario"))</f>
        <v/>
      </c>
      <c r="D144" s="25" t="str">
        <f>IF($A144="","",IFERROR(INDEX('Inventario General'!$I$5:$I$304,MATCH($A144,'Inventario General'!$A$5:$A$304,0))&amp;"","No está en el inventario"))</f>
        <v/>
      </c>
      <c r="E144" s="26"/>
      <c r="F144" s="26"/>
      <c r="G144" s="26"/>
      <c r="H144" s="29"/>
      <c r="I144" s="29"/>
      <c r="J144" s="44"/>
      <c r="K144" s="47"/>
      <c r="L144" s="26"/>
      <c r="M144" s="29"/>
      <c r="N144" s="26"/>
      <c r="O144" s="26"/>
      <c r="P144" s="26"/>
      <c r="Q144" s="26"/>
      <c r="R144" s="29"/>
      <c r="S144" s="26"/>
      <c r="T144" s="44"/>
      <c r="U144" s="26"/>
      <c r="V144" s="26"/>
      <c r="W144" s="27"/>
      <c r="X144" s="26"/>
    </row>
    <row r="145" spans="1:24" x14ac:dyDescent="0.25">
      <c r="A145" s="26"/>
      <c r="B145" s="25" t="str">
        <f>IF($A145="","",IFERROR(INDEX('Inventario General'!$C$5:$C$304,MATCH($A145,'Inventario General'!$A$5:$A$304,0))&amp;"","No está en el inventario"))</f>
        <v/>
      </c>
      <c r="C145" s="25" t="str">
        <f>IF($A145="","",IFERROR(INDEX('Inventario General'!$D$5:$D$304,MATCH($A145,'Inventario General'!$A$5:$A$304,0))&amp;"","No está en el inventario"))</f>
        <v/>
      </c>
      <c r="D145" s="25" t="str">
        <f>IF($A145="","",IFERROR(INDEX('Inventario General'!$I$5:$I$304,MATCH($A145,'Inventario General'!$A$5:$A$304,0))&amp;"","No está en el inventario"))</f>
        <v/>
      </c>
      <c r="E145" s="26"/>
      <c r="F145" s="26"/>
      <c r="G145" s="26"/>
      <c r="H145" s="29"/>
      <c r="I145" s="29"/>
      <c r="J145" s="44"/>
      <c r="K145" s="47"/>
      <c r="L145" s="26"/>
      <c r="M145" s="29"/>
      <c r="N145" s="26"/>
      <c r="O145" s="26"/>
      <c r="P145" s="26"/>
      <c r="Q145" s="26"/>
      <c r="R145" s="29"/>
      <c r="S145" s="26"/>
      <c r="T145" s="44"/>
      <c r="U145" s="26"/>
      <c r="V145" s="26"/>
      <c r="W145" s="27"/>
      <c r="X145" s="26"/>
    </row>
    <row r="146" spans="1:24" x14ac:dyDescent="0.25">
      <c r="A146" s="26"/>
      <c r="B146" s="25" t="str">
        <f>IF($A146="","",IFERROR(INDEX('Inventario General'!$C$5:$C$304,MATCH($A146,'Inventario General'!$A$5:$A$304,0))&amp;"","No está en el inventario"))</f>
        <v/>
      </c>
      <c r="C146" s="25" t="str">
        <f>IF($A146="","",IFERROR(INDEX('Inventario General'!$D$5:$D$304,MATCH($A146,'Inventario General'!$A$5:$A$304,0))&amp;"","No está en el inventario"))</f>
        <v/>
      </c>
      <c r="D146" s="25" t="str">
        <f>IF($A146="","",IFERROR(INDEX('Inventario General'!$I$5:$I$304,MATCH($A146,'Inventario General'!$A$5:$A$304,0))&amp;"","No está en el inventario"))</f>
        <v/>
      </c>
      <c r="E146" s="26"/>
      <c r="F146" s="26"/>
      <c r="G146" s="26"/>
      <c r="H146" s="29"/>
      <c r="I146" s="29"/>
      <c r="J146" s="44"/>
      <c r="K146" s="47"/>
      <c r="L146" s="26"/>
      <c r="M146" s="29"/>
      <c r="N146" s="26"/>
      <c r="O146" s="26"/>
      <c r="P146" s="26"/>
      <c r="Q146" s="26"/>
      <c r="R146" s="29"/>
      <c r="S146" s="26"/>
      <c r="T146" s="44"/>
      <c r="U146" s="26"/>
      <c r="V146" s="26"/>
      <c r="W146" s="27"/>
      <c r="X146" s="26"/>
    </row>
    <row r="147" spans="1:24" x14ac:dyDescent="0.25">
      <c r="A147" s="26"/>
      <c r="B147" s="25" t="str">
        <f>IF($A147="","",IFERROR(INDEX('Inventario General'!$C$5:$C$304,MATCH($A147,'Inventario General'!$A$5:$A$304,0))&amp;"","No está en el inventario"))</f>
        <v/>
      </c>
      <c r="C147" s="25" t="str">
        <f>IF($A147="","",IFERROR(INDEX('Inventario General'!$D$5:$D$304,MATCH($A147,'Inventario General'!$A$5:$A$304,0))&amp;"","No está en el inventario"))</f>
        <v/>
      </c>
      <c r="D147" s="25" t="str">
        <f>IF($A147="","",IFERROR(INDEX('Inventario General'!$I$5:$I$304,MATCH($A147,'Inventario General'!$A$5:$A$304,0))&amp;"","No está en el inventario"))</f>
        <v/>
      </c>
      <c r="E147" s="26"/>
      <c r="F147" s="26"/>
      <c r="G147" s="26"/>
      <c r="H147" s="29"/>
      <c r="I147" s="29"/>
      <c r="J147" s="44"/>
      <c r="K147" s="47"/>
      <c r="L147" s="26"/>
      <c r="M147" s="29"/>
      <c r="N147" s="26"/>
      <c r="O147" s="26"/>
      <c r="P147" s="26"/>
      <c r="Q147" s="26"/>
      <c r="R147" s="29"/>
      <c r="S147" s="26"/>
      <c r="T147" s="44"/>
      <c r="U147" s="26"/>
      <c r="V147" s="26"/>
      <c r="W147" s="27"/>
      <c r="X147" s="26"/>
    </row>
    <row r="148" spans="1:24" x14ac:dyDescent="0.25">
      <c r="A148" s="26"/>
      <c r="B148" s="25" t="str">
        <f>IF($A148="","",IFERROR(INDEX('Inventario General'!$C$5:$C$304,MATCH($A148,'Inventario General'!$A$5:$A$304,0))&amp;"","No está en el inventario"))</f>
        <v/>
      </c>
      <c r="C148" s="25" t="str">
        <f>IF($A148="","",IFERROR(INDEX('Inventario General'!$D$5:$D$304,MATCH($A148,'Inventario General'!$A$5:$A$304,0))&amp;"","No está en el inventario"))</f>
        <v/>
      </c>
      <c r="D148" s="25" t="str">
        <f>IF($A148="","",IFERROR(INDEX('Inventario General'!$I$5:$I$304,MATCH($A148,'Inventario General'!$A$5:$A$304,0))&amp;"","No está en el inventario"))</f>
        <v/>
      </c>
      <c r="E148" s="26"/>
      <c r="F148" s="26"/>
      <c r="G148" s="26"/>
      <c r="H148" s="29"/>
      <c r="I148" s="29"/>
      <c r="J148" s="44"/>
      <c r="K148" s="47"/>
      <c r="L148" s="26"/>
      <c r="M148" s="29"/>
      <c r="N148" s="26"/>
      <c r="O148" s="26"/>
      <c r="P148" s="26"/>
      <c r="Q148" s="26"/>
      <c r="R148" s="29"/>
      <c r="S148" s="26"/>
      <c r="T148" s="44"/>
      <c r="U148" s="26"/>
      <c r="V148" s="26"/>
      <c r="W148" s="27"/>
      <c r="X148" s="26"/>
    </row>
    <row r="149" spans="1:24" x14ac:dyDescent="0.25">
      <c r="A149" s="26"/>
      <c r="B149" s="25" t="str">
        <f>IF($A149="","",IFERROR(INDEX('Inventario General'!$C$5:$C$304,MATCH($A149,'Inventario General'!$A$5:$A$304,0))&amp;"","No está en el inventario"))</f>
        <v/>
      </c>
      <c r="C149" s="25" t="str">
        <f>IF($A149="","",IFERROR(INDEX('Inventario General'!$D$5:$D$304,MATCH($A149,'Inventario General'!$A$5:$A$304,0))&amp;"","No está en el inventario"))</f>
        <v/>
      </c>
      <c r="D149" s="25" t="str">
        <f>IF($A149="","",IFERROR(INDEX('Inventario General'!$I$5:$I$304,MATCH($A149,'Inventario General'!$A$5:$A$304,0))&amp;"","No está en el inventario"))</f>
        <v/>
      </c>
      <c r="E149" s="26"/>
      <c r="F149" s="26"/>
      <c r="G149" s="26"/>
      <c r="H149" s="29"/>
      <c r="I149" s="29"/>
      <c r="J149" s="44"/>
      <c r="K149" s="47"/>
      <c r="L149" s="26"/>
      <c r="M149" s="29"/>
      <c r="N149" s="26"/>
      <c r="O149" s="26"/>
      <c r="P149" s="26"/>
      <c r="Q149" s="26"/>
      <c r="R149" s="29"/>
      <c r="S149" s="26"/>
      <c r="T149" s="44"/>
      <c r="U149" s="26"/>
      <c r="V149" s="26"/>
      <c r="W149" s="27"/>
      <c r="X149" s="26"/>
    </row>
    <row r="150" spans="1:24" x14ac:dyDescent="0.25">
      <c r="A150" s="26"/>
      <c r="B150" s="25" t="str">
        <f>IF($A150="","",IFERROR(INDEX('Inventario General'!$C$5:$C$304,MATCH($A150,'Inventario General'!$A$5:$A$304,0))&amp;"","No está en el inventario"))</f>
        <v/>
      </c>
      <c r="C150" s="25" t="str">
        <f>IF($A150="","",IFERROR(INDEX('Inventario General'!$D$5:$D$304,MATCH($A150,'Inventario General'!$A$5:$A$304,0))&amp;"","No está en el inventario"))</f>
        <v/>
      </c>
      <c r="D150" s="25" t="str">
        <f>IF($A150="","",IFERROR(INDEX('Inventario General'!$I$5:$I$304,MATCH($A150,'Inventario General'!$A$5:$A$304,0))&amp;"","No está en el inventario"))</f>
        <v/>
      </c>
      <c r="E150" s="26"/>
      <c r="F150" s="26"/>
      <c r="G150" s="26"/>
      <c r="H150" s="29"/>
      <c r="I150" s="29"/>
      <c r="J150" s="44"/>
      <c r="K150" s="47"/>
      <c r="L150" s="26"/>
      <c r="M150" s="29"/>
      <c r="N150" s="26"/>
      <c r="O150" s="26"/>
      <c r="P150" s="26"/>
      <c r="Q150" s="26"/>
      <c r="R150" s="29"/>
      <c r="S150" s="26"/>
      <c r="T150" s="44"/>
      <c r="U150" s="26"/>
      <c r="V150" s="26"/>
      <c r="W150" s="27"/>
      <c r="X150" s="26"/>
    </row>
    <row r="151" spans="1:24" x14ac:dyDescent="0.25">
      <c r="A151" s="26"/>
      <c r="B151" s="25" t="str">
        <f>IF($A151="","",IFERROR(INDEX('Inventario General'!$C$5:$C$304,MATCH($A151,'Inventario General'!$A$5:$A$304,0))&amp;"","No está en el inventario"))</f>
        <v/>
      </c>
      <c r="C151" s="25" t="str">
        <f>IF($A151="","",IFERROR(INDEX('Inventario General'!$D$5:$D$304,MATCH($A151,'Inventario General'!$A$5:$A$304,0))&amp;"","No está en el inventario"))</f>
        <v/>
      </c>
      <c r="D151" s="25" t="str">
        <f>IF($A151="","",IFERROR(INDEX('Inventario General'!$I$5:$I$304,MATCH($A151,'Inventario General'!$A$5:$A$304,0))&amp;"","No está en el inventario"))</f>
        <v/>
      </c>
      <c r="E151" s="26"/>
      <c r="F151" s="26"/>
      <c r="G151" s="26"/>
      <c r="H151" s="29"/>
      <c r="I151" s="29"/>
      <c r="J151" s="44"/>
      <c r="K151" s="47"/>
      <c r="L151" s="26"/>
      <c r="M151" s="29"/>
      <c r="N151" s="26"/>
      <c r="O151" s="26"/>
      <c r="P151" s="26"/>
      <c r="Q151" s="26"/>
      <c r="R151" s="29"/>
      <c r="S151" s="26"/>
      <c r="T151" s="44"/>
      <c r="U151" s="26"/>
      <c r="V151" s="26"/>
      <c r="W151" s="27"/>
      <c r="X151" s="26"/>
    </row>
    <row r="152" spans="1:24" x14ac:dyDescent="0.25">
      <c r="A152" s="26"/>
      <c r="B152" s="25" t="str">
        <f>IF($A152="","",IFERROR(INDEX('Inventario General'!$C$5:$C$304,MATCH($A152,'Inventario General'!$A$5:$A$304,0))&amp;"","No está en el inventario"))</f>
        <v/>
      </c>
      <c r="C152" s="25" t="str">
        <f>IF($A152="","",IFERROR(INDEX('Inventario General'!$D$5:$D$304,MATCH($A152,'Inventario General'!$A$5:$A$304,0))&amp;"","No está en el inventario"))</f>
        <v/>
      </c>
      <c r="D152" s="25" t="str">
        <f>IF($A152="","",IFERROR(INDEX('Inventario General'!$I$5:$I$304,MATCH($A152,'Inventario General'!$A$5:$A$304,0))&amp;"","No está en el inventario"))</f>
        <v/>
      </c>
      <c r="E152" s="26"/>
      <c r="F152" s="26"/>
      <c r="G152" s="26"/>
      <c r="H152" s="29"/>
      <c r="I152" s="29"/>
      <c r="J152" s="44"/>
      <c r="K152" s="47"/>
      <c r="L152" s="26"/>
      <c r="M152" s="29"/>
      <c r="N152" s="26"/>
      <c r="O152" s="26"/>
      <c r="P152" s="26"/>
      <c r="Q152" s="26"/>
      <c r="R152" s="29"/>
      <c r="S152" s="26"/>
      <c r="T152" s="44"/>
      <c r="U152" s="26"/>
      <c r="V152" s="26"/>
      <c r="W152" s="27"/>
      <c r="X152" s="26"/>
    </row>
    <row r="153" spans="1:24" x14ac:dyDescent="0.25">
      <c r="A153" s="26"/>
      <c r="B153" s="25" t="str">
        <f>IF($A153="","",IFERROR(INDEX('Inventario General'!$C$5:$C$304,MATCH($A153,'Inventario General'!$A$5:$A$304,0))&amp;"","No está en el inventario"))</f>
        <v/>
      </c>
      <c r="C153" s="25" t="str">
        <f>IF($A153="","",IFERROR(INDEX('Inventario General'!$D$5:$D$304,MATCH($A153,'Inventario General'!$A$5:$A$304,0))&amp;"","No está en el inventario"))</f>
        <v/>
      </c>
      <c r="D153" s="25" t="str">
        <f>IF($A153="","",IFERROR(INDEX('Inventario General'!$I$5:$I$304,MATCH($A153,'Inventario General'!$A$5:$A$304,0))&amp;"","No está en el inventario"))</f>
        <v/>
      </c>
      <c r="E153" s="26"/>
      <c r="F153" s="26"/>
      <c r="G153" s="26"/>
      <c r="H153" s="29"/>
      <c r="I153" s="29"/>
      <c r="J153" s="44"/>
      <c r="K153" s="47"/>
      <c r="L153" s="26"/>
      <c r="M153" s="29"/>
      <c r="N153" s="26"/>
      <c r="O153" s="26"/>
      <c r="P153" s="26"/>
      <c r="Q153" s="26"/>
      <c r="R153" s="29"/>
      <c r="S153" s="26"/>
      <c r="T153" s="44"/>
      <c r="U153" s="26"/>
      <c r="V153" s="26"/>
      <c r="W153" s="27"/>
      <c r="X153" s="26"/>
    </row>
    <row r="154" spans="1:24" x14ac:dyDescent="0.25">
      <c r="A154" s="26"/>
      <c r="B154" s="25" t="str">
        <f>IF($A154="","",IFERROR(INDEX('Inventario General'!$C$5:$C$304,MATCH($A154,'Inventario General'!$A$5:$A$304,0))&amp;"","No está en el inventario"))</f>
        <v/>
      </c>
      <c r="C154" s="25" t="str">
        <f>IF($A154="","",IFERROR(INDEX('Inventario General'!$D$5:$D$304,MATCH($A154,'Inventario General'!$A$5:$A$304,0))&amp;"","No está en el inventario"))</f>
        <v/>
      </c>
      <c r="D154" s="25" t="str">
        <f>IF($A154="","",IFERROR(INDEX('Inventario General'!$I$5:$I$304,MATCH($A154,'Inventario General'!$A$5:$A$304,0))&amp;"","No está en el inventario"))</f>
        <v/>
      </c>
      <c r="E154" s="26"/>
      <c r="F154" s="26"/>
      <c r="G154" s="26"/>
      <c r="H154" s="29"/>
      <c r="I154" s="29"/>
      <c r="J154" s="44"/>
      <c r="K154" s="47"/>
      <c r="L154" s="26"/>
      <c r="M154" s="29"/>
      <c r="N154" s="26"/>
      <c r="O154" s="26"/>
      <c r="P154" s="26"/>
      <c r="Q154" s="26"/>
      <c r="R154" s="29"/>
      <c r="S154" s="26"/>
      <c r="T154" s="44"/>
      <c r="U154" s="26"/>
      <c r="V154" s="26"/>
      <c r="W154" s="27"/>
      <c r="X154" s="26"/>
    </row>
    <row r="155" spans="1:24" x14ac:dyDescent="0.25">
      <c r="A155" s="26"/>
      <c r="B155" s="25" t="str">
        <f>IF($A155="","",IFERROR(INDEX('Inventario General'!$C$5:$C$304,MATCH($A155,'Inventario General'!$A$5:$A$304,0))&amp;"","No está en el inventario"))</f>
        <v/>
      </c>
      <c r="C155" s="25" t="str">
        <f>IF($A155="","",IFERROR(INDEX('Inventario General'!$D$5:$D$304,MATCH($A155,'Inventario General'!$A$5:$A$304,0))&amp;"","No está en el inventario"))</f>
        <v/>
      </c>
      <c r="D155" s="25" t="str">
        <f>IF($A155="","",IFERROR(INDEX('Inventario General'!$I$5:$I$304,MATCH($A155,'Inventario General'!$A$5:$A$304,0))&amp;"","No está en el inventario"))</f>
        <v/>
      </c>
      <c r="E155" s="26"/>
      <c r="F155" s="26"/>
      <c r="G155" s="26"/>
      <c r="H155" s="29"/>
      <c r="I155" s="29"/>
      <c r="J155" s="44"/>
      <c r="K155" s="47"/>
      <c r="L155" s="26"/>
      <c r="M155" s="29"/>
      <c r="N155" s="26"/>
      <c r="O155" s="26"/>
      <c r="P155" s="26"/>
      <c r="Q155" s="26"/>
      <c r="R155" s="29"/>
      <c r="S155" s="26"/>
      <c r="T155" s="44"/>
      <c r="U155" s="26"/>
      <c r="V155" s="26"/>
      <c r="W155" s="27"/>
      <c r="X155" s="26"/>
    </row>
    <row r="156" spans="1:24" x14ac:dyDescent="0.25">
      <c r="A156" s="26"/>
      <c r="B156" s="25" t="str">
        <f>IF($A156="","",IFERROR(INDEX('Inventario General'!$C$5:$C$304,MATCH($A156,'Inventario General'!$A$5:$A$304,0))&amp;"","No está en el inventario"))</f>
        <v/>
      </c>
      <c r="C156" s="25" t="str">
        <f>IF($A156="","",IFERROR(INDEX('Inventario General'!$D$5:$D$304,MATCH($A156,'Inventario General'!$A$5:$A$304,0))&amp;"","No está en el inventario"))</f>
        <v/>
      </c>
      <c r="D156" s="25" t="str">
        <f>IF($A156="","",IFERROR(INDEX('Inventario General'!$I$5:$I$304,MATCH($A156,'Inventario General'!$A$5:$A$304,0))&amp;"","No está en el inventario"))</f>
        <v/>
      </c>
      <c r="E156" s="26"/>
      <c r="F156" s="26"/>
      <c r="G156" s="26"/>
      <c r="H156" s="29"/>
      <c r="I156" s="29"/>
      <c r="J156" s="44"/>
      <c r="K156" s="47"/>
      <c r="L156" s="26"/>
      <c r="M156" s="29"/>
      <c r="N156" s="26"/>
      <c r="O156" s="26"/>
      <c r="P156" s="26"/>
      <c r="Q156" s="26"/>
      <c r="R156" s="29"/>
      <c r="S156" s="26"/>
      <c r="T156" s="44"/>
      <c r="U156" s="26"/>
      <c r="V156" s="26"/>
      <c r="W156" s="27"/>
      <c r="X156" s="26"/>
    </row>
    <row r="157" spans="1:24" x14ac:dyDescent="0.25">
      <c r="A157" s="26"/>
      <c r="B157" s="25" t="str">
        <f>IF($A157="","",IFERROR(INDEX('Inventario General'!$C$5:$C$304,MATCH($A157,'Inventario General'!$A$5:$A$304,0))&amp;"","No está en el inventario"))</f>
        <v/>
      </c>
      <c r="C157" s="25" t="str">
        <f>IF($A157="","",IFERROR(INDEX('Inventario General'!$D$5:$D$304,MATCH($A157,'Inventario General'!$A$5:$A$304,0))&amp;"","No está en el inventario"))</f>
        <v/>
      </c>
      <c r="D157" s="25" t="str">
        <f>IF($A157="","",IFERROR(INDEX('Inventario General'!$I$5:$I$304,MATCH($A157,'Inventario General'!$A$5:$A$304,0))&amp;"","No está en el inventario"))</f>
        <v/>
      </c>
      <c r="E157" s="26"/>
      <c r="F157" s="26"/>
      <c r="G157" s="26"/>
      <c r="H157" s="29"/>
      <c r="I157" s="29"/>
      <c r="J157" s="44"/>
      <c r="K157" s="47"/>
      <c r="L157" s="26"/>
      <c r="M157" s="29"/>
      <c r="N157" s="26"/>
      <c r="O157" s="26"/>
      <c r="P157" s="26"/>
      <c r="Q157" s="26"/>
      <c r="R157" s="29"/>
      <c r="S157" s="26"/>
      <c r="T157" s="44"/>
      <c r="U157" s="26"/>
      <c r="V157" s="26"/>
      <c r="W157" s="27"/>
      <c r="X157" s="26"/>
    </row>
    <row r="158" spans="1:24" x14ac:dyDescent="0.25">
      <c r="A158" s="26"/>
      <c r="B158" s="25" t="str">
        <f>IF($A158="","",IFERROR(INDEX('Inventario General'!$C$5:$C$304,MATCH($A158,'Inventario General'!$A$5:$A$304,0))&amp;"","No está en el inventario"))</f>
        <v/>
      </c>
      <c r="C158" s="25" t="str">
        <f>IF($A158="","",IFERROR(INDEX('Inventario General'!$D$5:$D$304,MATCH($A158,'Inventario General'!$A$5:$A$304,0))&amp;"","No está en el inventario"))</f>
        <v/>
      </c>
      <c r="D158" s="25" t="str">
        <f>IF($A158="","",IFERROR(INDEX('Inventario General'!$I$5:$I$304,MATCH($A158,'Inventario General'!$A$5:$A$304,0))&amp;"","No está en el inventario"))</f>
        <v/>
      </c>
      <c r="E158" s="26"/>
      <c r="F158" s="26"/>
      <c r="G158" s="26"/>
      <c r="H158" s="29"/>
      <c r="I158" s="29"/>
      <c r="J158" s="44"/>
      <c r="K158" s="47"/>
      <c r="L158" s="26"/>
      <c r="M158" s="29"/>
      <c r="N158" s="26"/>
      <c r="O158" s="26"/>
      <c r="P158" s="26"/>
      <c r="Q158" s="26"/>
      <c r="R158" s="29"/>
      <c r="S158" s="26"/>
      <c r="T158" s="44"/>
      <c r="U158" s="26"/>
      <c r="V158" s="26"/>
      <c r="W158" s="27"/>
      <c r="X158" s="26"/>
    </row>
    <row r="159" spans="1:24" x14ac:dyDescent="0.25">
      <c r="A159" s="26"/>
      <c r="B159" s="25" t="str">
        <f>IF($A159="","",IFERROR(INDEX('Inventario General'!$C$5:$C$304,MATCH($A159,'Inventario General'!$A$5:$A$304,0))&amp;"","No está en el inventario"))</f>
        <v/>
      </c>
      <c r="C159" s="25" t="str">
        <f>IF($A159="","",IFERROR(INDEX('Inventario General'!$D$5:$D$304,MATCH($A159,'Inventario General'!$A$5:$A$304,0))&amp;"","No está en el inventario"))</f>
        <v/>
      </c>
      <c r="D159" s="25" t="str">
        <f>IF($A159="","",IFERROR(INDEX('Inventario General'!$I$5:$I$304,MATCH($A159,'Inventario General'!$A$5:$A$304,0))&amp;"","No está en el inventario"))</f>
        <v/>
      </c>
      <c r="E159" s="26"/>
      <c r="F159" s="26"/>
      <c r="G159" s="26"/>
      <c r="H159" s="29"/>
      <c r="I159" s="29"/>
      <c r="J159" s="44"/>
      <c r="K159" s="47"/>
      <c r="L159" s="26"/>
      <c r="M159" s="29"/>
      <c r="N159" s="26"/>
      <c r="O159" s="26"/>
      <c r="P159" s="26"/>
      <c r="Q159" s="26"/>
      <c r="R159" s="29"/>
      <c r="S159" s="26"/>
      <c r="T159" s="44"/>
      <c r="U159" s="26"/>
      <c r="V159" s="26"/>
      <c r="W159" s="27"/>
      <c r="X159" s="26"/>
    </row>
    <row r="160" spans="1:24" x14ac:dyDescent="0.25">
      <c r="A160" s="26"/>
      <c r="B160" s="25" t="str">
        <f>IF($A160="","",IFERROR(INDEX('Inventario General'!$C$5:$C$304,MATCH($A160,'Inventario General'!$A$5:$A$304,0))&amp;"","No está en el inventario"))</f>
        <v/>
      </c>
      <c r="C160" s="25" t="str">
        <f>IF($A160="","",IFERROR(INDEX('Inventario General'!$D$5:$D$304,MATCH($A160,'Inventario General'!$A$5:$A$304,0))&amp;"","No está en el inventario"))</f>
        <v/>
      </c>
      <c r="D160" s="25" t="str">
        <f>IF($A160="","",IFERROR(INDEX('Inventario General'!$I$5:$I$304,MATCH($A160,'Inventario General'!$A$5:$A$304,0))&amp;"","No está en el inventario"))</f>
        <v/>
      </c>
      <c r="E160" s="26"/>
      <c r="F160" s="26"/>
      <c r="G160" s="26"/>
      <c r="H160" s="29"/>
      <c r="I160" s="29"/>
      <c r="J160" s="44"/>
      <c r="K160" s="47"/>
      <c r="L160" s="26"/>
      <c r="M160" s="29"/>
      <c r="N160" s="26"/>
      <c r="O160" s="26"/>
      <c r="P160" s="26"/>
      <c r="Q160" s="26"/>
      <c r="R160" s="29"/>
      <c r="S160" s="26"/>
      <c r="T160" s="44"/>
      <c r="U160" s="26"/>
      <c r="V160" s="26"/>
      <c r="W160" s="27"/>
      <c r="X160" s="26"/>
    </row>
    <row r="161" spans="1:24" x14ac:dyDescent="0.25">
      <c r="A161" s="26"/>
      <c r="B161" s="25" t="str">
        <f>IF($A161="","",IFERROR(INDEX('Inventario General'!$C$5:$C$304,MATCH($A161,'Inventario General'!$A$5:$A$304,0))&amp;"","No está en el inventario"))</f>
        <v/>
      </c>
      <c r="C161" s="25" t="str">
        <f>IF($A161="","",IFERROR(INDEX('Inventario General'!$D$5:$D$304,MATCH($A161,'Inventario General'!$A$5:$A$304,0))&amp;"","No está en el inventario"))</f>
        <v/>
      </c>
      <c r="D161" s="25" t="str">
        <f>IF($A161="","",IFERROR(INDEX('Inventario General'!$I$5:$I$304,MATCH($A161,'Inventario General'!$A$5:$A$304,0))&amp;"","No está en el inventario"))</f>
        <v/>
      </c>
      <c r="E161" s="26"/>
      <c r="F161" s="26"/>
      <c r="G161" s="26"/>
      <c r="H161" s="29"/>
      <c r="I161" s="29"/>
      <c r="J161" s="44"/>
      <c r="K161" s="47"/>
      <c r="L161" s="26"/>
      <c r="M161" s="29"/>
      <c r="N161" s="26"/>
      <c r="O161" s="26"/>
      <c r="P161" s="26"/>
      <c r="Q161" s="26"/>
      <c r="R161" s="29"/>
      <c r="S161" s="26"/>
      <c r="T161" s="44"/>
      <c r="U161" s="26"/>
      <c r="V161" s="26"/>
      <c r="W161" s="27"/>
      <c r="X161" s="26"/>
    </row>
    <row r="162" spans="1:24" x14ac:dyDescent="0.25">
      <c r="A162" s="26"/>
      <c r="B162" s="25" t="str">
        <f>IF($A162="","",IFERROR(INDEX('Inventario General'!$C$5:$C$304,MATCH($A162,'Inventario General'!$A$5:$A$304,0))&amp;"","No está en el inventario"))</f>
        <v/>
      </c>
      <c r="C162" s="25" t="str">
        <f>IF($A162="","",IFERROR(INDEX('Inventario General'!$D$5:$D$304,MATCH($A162,'Inventario General'!$A$5:$A$304,0))&amp;"","No está en el inventario"))</f>
        <v/>
      </c>
      <c r="D162" s="25" t="str">
        <f>IF($A162="","",IFERROR(INDEX('Inventario General'!$I$5:$I$304,MATCH($A162,'Inventario General'!$A$5:$A$304,0))&amp;"","No está en el inventario"))</f>
        <v/>
      </c>
      <c r="E162" s="26"/>
      <c r="F162" s="26"/>
      <c r="G162" s="26"/>
      <c r="H162" s="29"/>
      <c r="I162" s="29"/>
      <c r="J162" s="44"/>
      <c r="K162" s="47"/>
      <c r="L162" s="26"/>
      <c r="M162" s="29"/>
      <c r="N162" s="26"/>
      <c r="O162" s="26"/>
      <c r="P162" s="26"/>
      <c r="Q162" s="26"/>
      <c r="R162" s="29"/>
      <c r="S162" s="26"/>
      <c r="T162" s="44"/>
      <c r="U162" s="26"/>
      <c r="V162" s="26"/>
      <c r="W162" s="27"/>
      <c r="X162" s="26"/>
    </row>
    <row r="163" spans="1:24" x14ac:dyDescent="0.25">
      <c r="A163" s="26"/>
      <c r="B163" s="25" t="str">
        <f>IF($A163="","",IFERROR(INDEX('Inventario General'!$C$5:$C$304,MATCH($A163,'Inventario General'!$A$5:$A$304,0))&amp;"","No está en el inventario"))</f>
        <v/>
      </c>
      <c r="C163" s="25" t="str">
        <f>IF($A163="","",IFERROR(INDEX('Inventario General'!$D$5:$D$304,MATCH($A163,'Inventario General'!$A$5:$A$304,0))&amp;"","No está en el inventario"))</f>
        <v/>
      </c>
      <c r="D163" s="25" t="str">
        <f>IF($A163="","",IFERROR(INDEX('Inventario General'!$I$5:$I$304,MATCH($A163,'Inventario General'!$A$5:$A$304,0))&amp;"","No está en el inventario"))</f>
        <v/>
      </c>
      <c r="E163" s="26"/>
      <c r="F163" s="26"/>
      <c r="G163" s="26"/>
      <c r="H163" s="29"/>
      <c r="I163" s="29"/>
      <c r="J163" s="44"/>
      <c r="K163" s="47"/>
      <c r="L163" s="26"/>
      <c r="M163" s="29"/>
      <c r="N163" s="26"/>
      <c r="O163" s="26"/>
      <c r="P163" s="26"/>
      <c r="Q163" s="26"/>
      <c r="R163" s="29"/>
      <c r="S163" s="26"/>
      <c r="T163" s="44"/>
      <c r="U163" s="26"/>
      <c r="V163" s="26"/>
      <c r="W163" s="27"/>
      <c r="X163" s="26"/>
    </row>
    <row r="164" spans="1:24" x14ac:dyDescent="0.25">
      <c r="A164" s="26"/>
      <c r="B164" s="25" t="str">
        <f>IF($A164="","",IFERROR(INDEX('Inventario General'!$C$5:$C$304,MATCH($A164,'Inventario General'!$A$5:$A$304,0))&amp;"","No está en el inventario"))</f>
        <v/>
      </c>
      <c r="C164" s="25" t="str">
        <f>IF($A164="","",IFERROR(INDEX('Inventario General'!$D$5:$D$304,MATCH($A164,'Inventario General'!$A$5:$A$304,0))&amp;"","No está en el inventario"))</f>
        <v/>
      </c>
      <c r="D164" s="25" t="str">
        <f>IF($A164="","",IFERROR(INDEX('Inventario General'!$I$5:$I$304,MATCH($A164,'Inventario General'!$A$5:$A$304,0))&amp;"","No está en el inventario"))</f>
        <v/>
      </c>
      <c r="E164" s="26"/>
      <c r="F164" s="26"/>
      <c r="G164" s="26"/>
      <c r="H164" s="29"/>
      <c r="I164" s="29"/>
      <c r="J164" s="44"/>
      <c r="K164" s="47"/>
      <c r="L164" s="26"/>
      <c r="M164" s="29"/>
      <c r="N164" s="26"/>
      <c r="O164" s="26"/>
      <c r="P164" s="26"/>
      <c r="Q164" s="26"/>
      <c r="R164" s="29"/>
      <c r="S164" s="26"/>
      <c r="T164" s="44"/>
      <c r="U164" s="26"/>
      <c r="V164" s="26"/>
      <c r="W164" s="27"/>
      <c r="X164" s="26"/>
    </row>
    <row r="165" spans="1:24" x14ac:dyDescent="0.25">
      <c r="A165" s="26"/>
      <c r="B165" s="25" t="str">
        <f>IF($A165="","",IFERROR(INDEX('Inventario General'!$C$5:$C$304,MATCH($A165,'Inventario General'!$A$5:$A$304,0))&amp;"","No está en el inventario"))</f>
        <v/>
      </c>
      <c r="C165" s="25" t="str">
        <f>IF($A165="","",IFERROR(INDEX('Inventario General'!$D$5:$D$304,MATCH($A165,'Inventario General'!$A$5:$A$304,0))&amp;"","No está en el inventario"))</f>
        <v/>
      </c>
      <c r="D165" s="25" t="str">
        <f>IF($A165="","",IFERROR(INDEX('Inventario General'!$I$5:$I$304,MATCH($A165,'Inventario General'!$A$5:$A$304,0))&amp;"","No está en el inventario"))</f>
        <v/>
      </c>
      <c r="E165" s="26"/>
      <c r="F165" s="26"/>
      <c r="G165" s="26"/>
      <c r="H165" s="29"/>
      <c r="I165" s="29"/>
      <c r="J165" s="44"/>
      <c r="K165" s="47"/>
      <c r="L165" s="26"/>
      <c r="M165" s="29"/>
      <c r="N165" s="26"/>
      <c r="O165" s="26"/>
      <c r="P165" s="26"/>
      <c r="Q165" s="26"/>
      <c r="R165" s="29"/>
      <c r="S165" s="26"/>
      <c r="T165" s="44"/>
      <c r="U165" s="26"/>
      <c r="V165" s="26"/>
      <c r="W165" s="27"/>
      <c r="X165" s="26"/>
    </row>
    <row r="166" spans="1:24" x14ac:dyDescent="0.25">
      <c r="A166" s="26"/>
      <c r="B166" s="25" t="str">
        <f>IF($A166="","",IFERROR(INDEX('Inventario General'!$C$5:$C$304,MATCH($A166,'Inventario General'!$A$5:$A$304,0))&amp;"","No está en el inventario"))</f>
        <v/>
      </c>
      <c r="C166" s="25" t="str">
        <f>IF($A166="","",IFERROR(INDEX('Inventario General'!$D$5:$D$304,MATCH($A166,'Inventario General'!$A$5:$A$304,0))&amp;"","No está en el inventario"))</f>
        <v/>
      </c>
      <c r="D166" s="25" t="str">
        <f>IF($A166="","",IFERROR(INDEX('Inventario General'!$I$5:$I$304,MATCH($A166,'Inventario General'!$A$5:$A$304,0))&amp;"","No está en el inventario"))</f>
        <v/>
      </c>
      <c r="E166" s="26"/>
      <c r="F166" s="26"/>
      <c r="G166" s="26"/>
      <c r="H166" s="29"/>
      <c r="I166" s="29"/>
      <c r="J166" s="44"/>
      <c r="K166" s="47"/>
      <c r="L166" s="26"/>
      <c r="M166" s="29"/>
      <c r="N166" s="26"/>
      <c r="O166" s="26"/>
      <c r="P166" s="26"/>
      <c r="Q166" s="26"/>
      <c r="R166" s="29"/>
      <c r="S166" s="26"/>
      <c r="T166" s="44"/>
      <c r="U166" s="26"/>
      <c r="V166" s="26"/>
      <c r="W166" s="27"/>
      <c r="X166" s="26"/>
    </row>
    <row r="167" spans="1:24" x14ac:dyDescent="0.25">
      <c r="A167" s="26"/>
      <c r="B167" s="25" t="str">
        <f>IF($A167="","",IFERROR(INDEX('Inventario General'!$C$5:$C$304,MATCH($A167,'Inventario General'!$A$5:$A$304,0))&amp;"","No está en el inventario"))</f>
        <v/>
      </c>
      <c r="C167" s="25" t="str">
        <f>IF($A167="","",IFERROR(INDEX('Inventario General'!$D$5:$D$304,MATCH($A167,'Inventario General'!$A$5:$A$304,0))&amp;"","No está en el inventario"))</f>
        <v/>
      </c>
      <c r="D167" s="25" t="str">
        <f>IF($A167="","",IFERROR(INDEX('Inventario General'!$I$5:$I$304,MATCH($A167,'Inventario General'!$A$5:$A$304,0))&amp;"","No está en el inventario"))</f>
        <v/>
      </c>
      <c r="E167" s="26"/>
      <c r="F167" s="26"/>
      <c r="G167" s="26"/>
      <c r="H167" s="29"/>
      <c r="I167" s="29"/>
      <c r="J167" s="44"/>
      <c r="K167" s="47"/>
      <c r="L167" s="26"/>
      <c r="M167" s="29"/>
      <c r="N167" s="26"/>
      <c r="O167" s="26"/>
      <c r="P167" s="26"/>
      <c r="Q167" s="26"/>
      <c r="R167" s="29"/>
      <c r="S167" s="26"/>
      <c r="T167" s="44"/>
      <c r="U167" s="26"/>
      <c r="V167" s="26"/>
      <c r="W167" s="27"/>
      <c r="X167" s="26"/>
    </row>
    <row r="168" spans="1:24" x14ac:dyDescent="0.25">
      <c r="A168" s="26"/>
      <c r="B168" s="25" t="str">
        <f>IF($A168="","",IFERROR(INDEX('Inventario General'!$C$5:$C$304,MATCH($A168,'Inventario General'!$A$5:$A$304,0))&amp;"","No está en el inventario"))</f>
        <v/>
      </c>
      <c r="C168" s="25" t="str">
        <f>IF($A168="","",IFERROR(INDEX('Inventario General'!$D$5:$D$304,MATCH($A168,'Inventario General'!$A$5:$A$304,0))&amp;"","No está en el inventario"))</f>
        <v/>
      </c>
      <c r="D168" s="25" t="str">
        <f>IF($A168="","",IFERROR(INDEX('Inventario General'!$I$5:$I$304,MATCH($A168,'Inventario General'!$A$5:$A$304,0))&amp;"","No está en el inventario"))</f>
        <v/>
      </c>
      <c r="E168" s="26"/>
      <c r="F168" s="26"/>
      <c r="G168" s="26"/>
      <c r="H168" s="29"/>
      <c r="I168" s="29"/>
      <c r="J168" s="44"/>
      <c r="K168" s="47"/>
      <c r="L168" s="26"/>
      <c r="M168" s="29"/>
      <c r="N168" s="26"/>
      <c r="O168" s="26"/>
      <c r="P168" s="26"/>
      <c r="Q168" s="26"/>
      <c r="R168" s="29"/>
      <c r="S168" s="26"/>
      <c r="T168" s="44"/>
      <c r="U168" s="26"/>
      <c r="V168" s="26"/>
      <c r="W168" s="27"/>
      <c r="X168" s="26"/>
    </row>
    <row r="169" spans="1:24" x14ac:dyDescent="0.25">
      <c r="A169" s="26"/>
      <c r="B169" s="25" t="str">
        <f>IF($A169="","",IFERROR(INDEX('Inventario General'!$C$5:$C$304,MATCH($A169,'Inventario General'!$A$5:$A$304,0))&amp;"","No está en el inventario"))</f>
        <v/>
      </c>
      <c r="C169" s="25" t="str">
        <f>IF($A169="","",IFERROR(INDEX('Inventario General'!$D$5:$D$304,MATCH($A169,'Inventario General'!$A$5:$A$304,0))&amp;"","No está en el inventario"))</f>
        <v/>
      </c>
      <c r="D169" s="25" t="str">
        <f>IF($A169="","",IFERROR(INDEX('Inventario General'!$I$5:$I$304,MATCH($A169,'Inventario General'!$A$5:$A$304,0))&amp;"","No está en el inventario"))</f>
        <v/>
      </c>
      <c r="E169" s="26"/>
      <c r="F169" s="26"/>
      <c r="G169" s="26"/>
      <c r="H169" s="29"/>
      <c r="I169" s="29"/>
      <c r="J169" s="44"/>
      <c r="K169" s="47"/>
      <c r="L169" s="26"/>
      <c r="M169" s="29"/>
      <c r="N169" s="26"/>
      <c r="O169" s="26"/>
      <c r="P169" s="26"/>
      <c r="Q169" s="26"/>
      <c r="R169" s="29"/>
      <c r="S169" s="26"/>
      <c r="T169" s="44"/>
      <c r="U169" s="26"/>
      <c r="V169" s="26"/>
      <c r="W169" s="27"/>
      <c r="X169" s="26"/>
    </row>
    <row r="170" spans="1:24" x14ac:dyDescent="0.25">
      <c r="A170" s="26"/>
      <c r="B170" s="25" t="str">
        <f>IF($A170="","",IFERROR(INDEX('Inventario General'!$C$5:$C$304,MATCH($A170,'Inventario General'!$A$5:$A$304,0))&amp;"","No está en el inventario"))</f>
        <v/>
      </c>
      <c r="C170" s="25" t="str">
        <f>IF($A170="","",IFERROR(INDEX('Inventario General'!$D$5:$D$304,MATCH($A170,'Inventario General'!$A$5:$A$304,0))&amp;"","No está en el inventario"))</f>
        <v/>
      </c>
      <c r="D170" s="25" t="str">
        <f>IF($A170="","",IFERROR(INDEX('Inventario General'!$I$5:$I$304,MATCH($A170,'Inventario General'!$A$5:$A$304,0))&amp;"","No está en el inventario"))</f>
        <v/>
      </c>
      <c r="E170" s="26"/>
      <c r="F170" s="26"/>
      <c r="G170" s="26"/>
      <c r="H170" s="29"/>
      <c r="I170" s="29"/>
      <c r="J170" s="44"/>
      <c r="K170" s="47"/>
      <c r="L170" s="26"/>
      <c r="M170" s="29"/>
      <c r="N170" s="26"/>
      <c r="O170" s="26"/>
      <c r="P170" s="26"/>
      <c r="Q170" s="26"/>
      <c r="R170" s="29"/>
      <c r="S170" s="26"/>
      <c r="T170" s="44"/>
      <c r="U170" s="26"/>
      <c r="V170" s="26"/>
      <c r="W170" s="27"/>
      <c r="X170" s="26"/>
    </row>
    <row r="171" spans="1:24" x14ac:dyDescent="0.25">
      <c r="A171" s="26"/>
      <c r="B171" s="25" t="str">
        <f>IF($A171="","",IFERROR(INDEX('Inventario General'!$C$5:$C$304,MATCH($A171,'Inventario General'!$A$5:$A$304,0))&amp;"","No está en el inventario"))</f>
        <v/>
      </c>
      <c r="C171" s="25" t="str">
        <f>IF($A171="","",IFERROR(INDEX('Inventario General'!$D$5:$D$304,MATCH($A171,'Inventario General'!$A$5:$A$304,0))&amp;"","No está en el inventario"))</f>
        <v/>
      </c>
      <c r="D171" s="25" t="str">
        <f>IF($A171="","",IFERROR(INDEX('Inventario General'!$I$5:$I$304,MATCH($A171,'Inventario General'!$A$5:$A$304,0))&amp;"","No está en el inventario"))</f>
        <v/>
      </c>
      <c r="E171" s="26"/>
      <c r="F171" s="26"/>
      <c r="G171" s="26"/>
      <c r="H171" s="29"/>
      <c r="I171" s="29"/>
      <c r="J171" s="44"/>
      <c r="K171" s="47"/>
      <c r="L171" s="26"/>
      <c r="M171" s="29"/>
      <c r="N171" s="26"/>
      <c r="O171" s="26"/>
      <c r="P171" s="26"/>
      <c r="Q171" s="26"/>
      <c r="R171" s="29"/>
      <c r="S171" s="26"/>
      <c r="T171" s="44"/>
      <c r="U171" s="26"/>
      <c r="V171" s="26"/>
      <c r="W171" s="27"/>
      <c r="X171" s="26"/>
    </row>
    <row r="172" spans="1:24" x14ac:dyDescent="0.25">
      <c r="A172" s="26"/>
      <c r="B172" s="25" t="str">
        <f>IF($A172="","",IFERROR(INDEX('Inventario General'!$C$5:$C$304,MATCH($A172,'Inventario General'!$A$5:$A$304,0))&amp;"","No está en el inventario"))</f>
        <v/>
      </c>
      <c r="C172" s="25" t="str">
        <f>IF($A172="","",IFERROR(INDEX('Inventario General'!$D$5:$D$304,MATCH($A172,'Inventario General'!$A$5:$A$304,0))&amp;"","No está en el inventario"))</f>
        <v/>
      </c>
      <c r="D172" s="25" t="str">
        <f>IF($A172="","",IFERROR(INDEX('Inventario General'!$I$5:$I$304,MATCH($A172,'Inventario General'!$A$5:$A$304,0))&amp;"","No está en el inventario"))</f>
        <v/>
      </c>
      <c r="E172" s="26"/>
      <c r="F172" s="26"/>
      <c r="G172" s="26"/>
      <c r="H172" s="29"/>
      <c r="I172" s="29"/>
      <c r="J172" s="44"/>
      <c r="K172" s="47"/>
      <c r="L172" s="26"/>
      <c r="M172" s="29"/>
      <c r="N172" s="26"/>
      <c r="O172" s="26"/>
      <c r="P172" s="26"/>
      <c r="Q172" s="26"/>
      <c r="R172" s="29"/>
      <c r="S172" s="26"/>
      <c r="T172" s="44"/>
      <c r="U172" s="26"/>
      <c r="V172" s="26"/>
      <c r="W172" s="27"/>
      <c r="X172" s="26"/>
    </row>
    <row r="173" spans="1:24" x14ac:dyDescent="0.25">
      <c r="A173" s="26"/>
      <c r="B173" s="25" t="str">
        <f>IF($A173="","",IFERROR(INDEX('Inventario General'!$C$5:$C$304,MATCH($A173,'Inventario General'!$A$5:$A$304,0))&amp;"","No está en el inventario"))</f>
        <v/>
      </c>
      <c r="C173" s="25" t="str">
        <f>IF($A173="","",IFERROR(INDEX('Inventario General'!$D$5:$D$304,MATCH($A173,'Inventario General'!$A$5:$A$304,0))&amp;"","No está en el inventario"))</f>
        <v/>
      </c>
      <c r="D173" s="25" t="str">
        <f>IF($A173="","",IFERROR(INDEX('Inventario General'!$I$5:$I$304,MATCH($A173,'Inventario General'!$A$5:$A$304,0))&amp;"","No está en el inventario"))</f>
        <v/>
      </c>
      <c r="E173" s="26"/>
      <c r="F173" s="26"/>
      <c r="G173" s="26"/>
      <c r="H173" s="29"/>
      <c r="I173" s="29"/>
      <c r="J173" s="44"/>
      <c r="K173" s="47"/>
      <c r="L173" s="26"/>
      <c r="M173" s="29"/>
      <c r="N173" s="26"/>
      <c r="O173" s="26"/>
      <c r="P173" s="26"/>
      <c r="Q173" s="26"/>
      <c r="R173" s="29"/>
      <c r="S173" s="26"/>
      <c r="T173" s="44"/>
      <c r="U173" s="26"/>
      <c r="V173" s="26"/>
      <c r="W173" s="27"/>
      <c r="X173" s="26"/>
    </row>
    <row r="174" spans="1:24" x14ac:dyDescent="0.25">
      <c r="A174" s="26"/>
      <c r="B174" s="25" t="str">
        <f>IF($A174="","",IFERROR(INDEX('Inventario General'!$C$5:$C$304,MATCH($A174,'Inventario General'!$A$5:$A$304,0))&amp;"","No está en el inventario"))</f>
        <v/>
      </c>
      <c r="C174" s="25" t="str">
        <f>IF($A174="","",IFERROR(INDEX('Inventario General'!$D$5:$D$304,MATCH($A174,'Inventario General'!$A$5:$A$304,0))&amp;"","No está en el inventario"))</f>
        <v/>
      </c>
      <c r="D174" s="25" t="str">
        <f>IF($A174="","",IFERROR(INDEX('Inventario General'!$I$5:$I$304,MATCH($A174,'Inventario General'!$A$5:$A$304,0))&amp;"","No está en el inventario"))</f>
        <v/>
      </c>
      <c r="E174" s="26"/>
      <c r="F174" s="26"/>
      <c r="G174" s="26"/>
      <c r="H174" s="29"/>
      <c r="I174" s="29"/>
      <c r="J174" s="44"/>
      <c r="K174" s="47"/>
      <c r="L174" s="26"/>
      <c r="M174" s="29"/>
      <c r="N174" s="26"/>
      <c r="O174" s="26"/>
      <c r="P174" s="26"/>
      <c r="Q174" s="26"/>
      <c r="R174" s="29"/>
      <c r="S174" s="26"/>
      <c r="T174" s="44"/>
      <c r="U174" s="26"/>
      <c r="V174" s="26"/>
      <c r="W174" s="27"/>
      <c r="X174" s="26"/>
    </row>
    <row r="175" spans="1:24" x14ac:dyDescent="0.25">
      <c r="A175" s="26"/>
      <c r="B175" s="25" t="str">
        <f>IF($A175="","",IFERROR(INDEX('Inventario General'!$C$5:$C$304,MATCH($A175,'Inventario General'!$A$5:$A$304,0))&amp;"","No está en el inventario"))</f>
        <v/>
      </c>
      <c r="C175" s="25" t="str">
        <f>IF($A175="","",IFERROR(INDEX('Inventario General'!$D$5:$D$304,MATCH($A175,'Inventario General'!$A$5:$A$304,0))&amp;"","No está en el inventario"))</f>
        <v/>
      </c>
      <c r="D175" s="25" t="str">
        <f>IF($A175="","",IFERROR(INDEX('Inventario General'!$I$5:$I$304,MATCH($A175,'Inventario General'!$A$5:$A$304,0))&amp;"","No está en el inventario"))</f>
        <v/>
      </c>
      <c r="E175" s="26"/>
      <c r="F175" s="26"/>
      <c r="G175" s="26"/>
      <c r="H175" s="29"/>
      <c r="I175" s="29"/>
      <c r="J175" s="44"/>
      <c r="K175" s="47"/>
      <c r="L175" s="26"/>
      <c r="M175" s="29"/>
      <c r="N175" s="26"/>
      <c r="O175" s="26"/>
      <c r="P175" s="26"/>
      <c r="Q175" s="26"/>
      <c r="R175" s="29"/>
      <c r="S175" s="26"/>
      <c r="T175" s="44"/>
      <c r="U175" s="26"/>
      <c r="V175" s="26"/>
      <c r="W175" s="27"/>
      <c r="X175" s="26"/>
    </row>
    <row r="176" spans="1:24" x14ac:dyDescent="0.25">
      <c r="A176" s="26"/>
      <c r="B176" s="25" t="str">
        <f>IF($A176="","",IFERROR(INDEX('Inventario General'!$C$5:$C$304,MATCH($A176,'Inventario General'!$A$5:$A$304,0))&amp;"","No está en el inventario"))</f>
        <v/>
      </c>
      <c r="C176" s="25" t="str">
        <f>IF($A176="","",IFERROR(INDEX('Inventario General'!$D$5:$D$304,MATCH($A176,'Inventario General'!$A$5:$A$304,0))&amp;"","No está en el inventario"))</f>
        <v/>
      </c>
      <c r="D176" s="25" t="str">
        <f>IF($A176="","",IFERROR(INDEX('Inventario General'!$I$5:$I$304,MATCH($A176,'Inventario General'!$A$5:$A$304,0))&amp;"","No está en el inventario"))</f>
        <v/>
      </c>
      <c r="E176" s="26"/>
      <c r="F176" s="26"/>
      <c r="G176" s="26"/>
      <c r="H176" s="29"/>
      <c r="I176" s="29"/>
      <c r="J176" s="44"/>
      <c r="K176" s="47"/>
      <c r="L176" s="26"/>
      <c r="M176" s="29"/>
      <c r="N176" s="26"/>
      <c r="O176" s="26"/>
      <c r="P176" s="26"/>
      <c r="Q176" s="26"/>
      <c r="R176" s="29"/>
      <c r="S176" s="26"/>
      <c r="T176" s="44"/>
      <c r="U176" s="26"/>
      <c r="V176" s="26"/>
      <c r="W176" s="27"/>
      <c r="X176" s="26"/>
    </row>
    <row r="177" spans="1:24" x14ac:dyDescent="0.25">
      <c r="A177" s="26"/>
      <c r="B177" s="25" t="str">
        <f>IF($A177="","",IFERROR(INDEX('Inventario General'!$C$5:$C$304,MATCH($A177,'Inventario General'!$A$5:$A$304,0))&amp;"","No está en el inventario"))</f>
        <v/>
      </c>
      <c r="C177" s="25" t="str">
        <f>IF($A177="","",IFERROR(INDEX('Inventario General'!$D$5:$D$304,MATCH($A177,'Inventario General'!$A$5:$A$304,0))&amp;"","No está en el inventario"))</f>
        <v/>
      </c>
      <c r="D177" s="25" t="str">
        <f>IF($A177="","",IFERROR(INDEX('Inventario General'!$I$5:$I$304,MATCH($A177,'Inventario General'!$A$5:$A$304,0))&amp;"","No está en el inventario"))</f>
        <v/>
      </c>
      <c r="E177" s="26"/>
      <c r="F177" s="26"/>
      <c r="G177" s="26"/>
      <c r="H177" s="29"/>
      <c r="I177" s="29"/>
      <c r="J177" s="44"/>
      <c r="K177" s="47"/>
      <c r="L177" s="26"/>
      <c r="M177" s="29"/>
      <c r="N177" s="26"/>
      <c r="O177" s="26"/>
      <c r="P177" s="26"/>
      <c r="Q177" s="26"/>
      <c r="R177" s="29"/>
      <c r="S177" s="26"/>
      <c r="T177" s="44"/>
      <c r="U177" s="26"/>
      <c r="V177" s="26"/>
      <c r="W177" s="27"/>
      <c r="X177" s="26"/>
    </row>
    <row r="178" spans="1:24" x14ac:dyDescent="0.25">
      <c r="A178" s="26"/>
      <c r="B178" s="25" t="str">
        <f>IF($A178="","",IFERROR(INDEX('Inventario General'!$C$5:$C$304,MATCH($A178,'Inventario General'!$A$5:$A$304,0))&amp;"","No está en el inventario"))</f>
        <v/>
      </c>
      <c r="C178" s="25" t="str">
        <f>IF($A178="","",IFERROR(INDEX('Inventario General'!$D$5:$D$304,MATCH($A178,'Inventario General'!$A$5:$A$304,0))&amp;"","No está en el inventario"))</f>
        <v/>
      </c>
      <c r="D178" s="25" t="str">
        <f>IF($A178="","",IFERROR(INDEX('Inventario General'!$I$5:$I$304,MATCH($A178,'Inventario General'!$A$5:$A$304,0))&amp;"","No está en el inventario"))</f>
        <v/>
      </c>
      <c r="E178" s="26"/>
      <c r="F178" s="26"/>
      <c r="G178" s="26"/>
      <c r="H178" s="29"/>
      <c r="I178" s="29"/>
      <c r="J178" s="44"/>
      <c r="K178" s="47"/>
      <c r="L178" s="26"/>
      <c r="M178" s="29"/>
      <c r="N178" s="26"/>
      <c r="O178" s="26"/>
      <c r="P178" s="26"/>
      <c r="Q178" s="26"/>
      <c r="R178" s="29"/>
      <c r="S178" s="26"/>
      <c r="T178" s="44"/>
      <c r="U178" s="26"/>
      <c r="V178" s="26"/>
      <c r="W178" s="27"/>
      <c r="X178" s="26"/>
    </row>
    <row r="179" spans="1:24" x14ac:dyDescent="0.25">
      <c r="A179" s="26"/>
      <c r="B179" s="25" t="str">
        <f>IF($A179="","",IFERROR(INDEX('Inventario General'!$C$5:$C$304,MATCH($A179,'Inventario General'!$A$5:$A$304,0))&amp;"","No está en el inventario"))</f>
        <v/>
      </c>
      <c r="C179" s="25" t="str">
        <f>IF($A179="","",IFERROR(INDEX('Inventario General'!$D$5:$D$304,MATCH($A179,'Inventario General'!$A$5:$A$304,0))&amp;"","No está en el inventario"))</f>
        <v/>
      </c>
      <c r="D179" s="25" t="str">
        <f>IF($A179="","",IFERROR(INDEX('Inventario General'!$I$5:$I$304,MATCH($A179,'Inventario General'!$A$5:$A$304,0))&amp;"","No está en el inventario"))</f>
        <v/>
      </c>
      <c r="E179" s="26"/>
      <c r="F179" s="26"/>
      <c r="G179" s="26"/>
      <c r="H179" s="29"/>
      <c r="I179" s="29"/>
      <c r="J179" s="44"/>
      <c r="K179" s="47"/>
      <c r="L179" s="26"/>
      <c r="M179" s="29"/>
      <c r="N179" s="26"/>
      <c r="O179" s="26"/>
      <c r="P179" s="26"/>
      <c r="Q179" s="26"/>
      <c r="R179" s="29"/>
      <c r="S179" s="26"/>
      <c r="T179" s="44"/>
      <c r="U179" s="26"/>
      <c r="V179" s="26"/>
      <c r="W179" s="27"/>
      <c r="X179" s="26"/>
    </row>
    <row r="180" spans="1:24" x14ac:dyDescent="0.25">
      <c r="A180" s="26"/>
      <c r="B180" s="25" t="str">
        <f>IF($A180="","",IFERROR(INDEX('Inventario General'!$C$5:$C$304,MATCH($A180,'Inventario General'!$A$5:$A$304,0))&amp;"","No está en el inventario"))</f>
        <v/>
      </c>
      <c r="C180" s="25" t="str">
        <f>IF($A180="","",IFERROR(INDEX('Inventario General'!$D$5:$D$304,MATCH($A180,'Inventario General'!$A$5:$A$304,0))&amp;"","No está en el inventario"))</f>
        <v/>
      </c>
      <c r="D180" s="25" t="str">
        <f>IF($A180="","",IFERROR(INDEX('Inventario General'!$I$5:$I$304,MATCH($A180,'Inventario General'!$A$5:$A$304,0))&amp;"","No está en el inventario"))</f>
        <v/>
      </c>
      <c r="E180" s="26"/>
      <c r="F180" s="26"/>
      <c r="G180" s="26"/>
      <c r="H180" s="29"/>
      <c r="I180" s="29"/>
      <c r="J180" s="44"/>
      <c r="K180" s="47"/>
      <c r="L180" s="26"/>
      <c r="M180" s="29"/>
      <c r="N180" s="26"/>
      <c r="O180" s="26"/>
      <c r="P180" s="26"/>
      <c r="Q180" s="26"/>
      <c r="R180" s="29"/>
      <c r="S180" s="26"/>
      <c r="T180" s="44"/>
      <c r="U180" s="26"/>
      <c r="V180" s="26"/>
      <c r="W180" s="27"/>
      <c r="X180" s="26"/>
    </row>
    <row r="181" spans="1:24" x14ac:dyDescent="0.25">
      <c r="A181" s="26"/>
      <c r="B181" s="25" t="str">
        <f>IF($A181="","",IFERROR(INDEX('Inventario General'!$C$5:$C$304,MATCH($A181,'Inventario General'!$A$5:$A$304,0))&amp;"","No está en el inventario"))</f>
        <v/>
      </c>
      <c r="C181" s="25" t="str">
        <f>IF($A181="","",IFERROR(INDEX('Inventario General'!$D$5:$D$304,MATCH($A181,'Inventario General'!$A$5:$A$304,0))&amp;"","No está en el inventario"))</f>
        <v/>
      </c>
      <c r="D181" s="25" t="str">
        <f>IF($A181="","",IFERROR(INDEX('Inventario General'!$I$5:$I$304,MATCH($A181,'Inventario General'!$A$5:$A$304,0))&amp;"","No está en el inventario"))</f>
        <v/>
      </c>
      <c r="E181" s="26"/>
      <c r="F181" s="26"/>
      <c r="G181" s="26"/>
      <c r="H181" s="29"/>
      <c r="I181" s="29"/>
      <c r="J181" s="44"/>
      <c r="K181" s="47"/>
      <c r="L181" s="26"/>
      <c r="M181" s="29"/>
      <c r="N181" s="26"/>
      <c r="O181" s="26"/>
      <c r="P181" s="26"/>
      <c r="Q181" s="26"/>
      <c r="R181" s="29"/>
      <c r="S181" s="26"/>
      <c r="T181" s="44"/>
      <c r="U181" s="26"/>
      <c r="V181" s="26"/>
      <c r="W181" s="27"/>
      <c r="X181" s="26"/>
    </row>
    <row r="182" spans="1:24" x14ac:dyDescent="0.25">
      <c r="A182" s="26"/>
      <c r="B182" s="25" t="str">
        <f>IF($A182="","",IFERROR(INDEX('Inventario General'!$C$5:$C$304,MATCH($A182,'Inventario General'!$A$5:$A$304,0))&amp;"","No está en el inventario"))</f>
        <v/>
      </c>
      <c r="C182" s="25" t="str">
        <f>IF($A182="","",IFERROR(INDEX('Inventario General'!$D$5:$D$304,MATCH($A182,'Inventario General'!$A$5:$A$304,0))&amp;"","No está en el inventario"))</f>
        <v/>
      </c>
      <c r="D182" s="25" t="str">
        <f>IF($A182="","",IFERROR(INDEX('Inventario General'!$I$5:$I$304,MATCH($A182,'Inventario General'!$A$5:$A$304,0))&amp;"","No está en el inventario"))</f>
        <v/>
      </c>
      <c r="E182" s="26"/>
      <c r="F182" s="26"/>
      <c r="G182" s="26"/>
      <c r="H182" s="29"/>
      <c r="I182" s="29"/>
      <c r="J182" s="44"/>
      <c r="K182" s="47"/>
      <c r="L182" s="26"/>
      <c r="M182" s="29"/>
      <c r="N182" s="26"/>
      <c r="O182" s="26"/>
      <c r="P182" s="26"/>
      <c r="Q182" s="26"/>
      <c r="R182" s="29"/>
      <c r="S182" s="26"/>
      <c r="T182" s="44"/>
      <c r="U182" s="26"/>
      <c r="V182" s="26"/>
      <c r="W182" s="27"/>
      <c r="X182" s="26"/>
    </row>
    <row r="183" spans="1:24" x14ac:dyDescent="0.25">
      <c r="A183" s="26"/>
      <c r="B183" s="25" t="str">
        <f>IF($A183="","",IFERROR(INDEX('Inventario General'!$C$5:$C$304,MATCH($A183,'Inventario General'!$A$5:$A$304,0))&amp;"","No está en el inventario"))</f>
        <v/>
      </c>
      <c r="C183" s="25" t="str">
        <f>IF($A183="","",IFERROR(INDEX('Inventario General'!$D$5:$D$304,MATCH($A183,'Inventario General'!$A$5:$A$304,0))&amp;"","No está en el inventario"))</f>
        <v/>
      </c>
      <c r="D183" s="25" t="str">
        <f>IF($A183="","",IFERROR(INDEX('Inventario General'!$I$5:$I$304,MATCH($A183,'Inventario General'!$A$5:$A$304,0))&amp;"","No está en el inventario"))</f>
        <v/>
      </c>
      <c r="E183" s="26"/>
      <c r="F183" s="26"/>
      <c r="G183" s="26"/>
      <c r="H183" s="29"/>
      <c r="I183" s="29"/>
      <c r="J183" s="44"/>
      <c r="K183" s="47"/>
      <c r="L183" s="26"/>
      <c r="M183" s="29"/>
      <c r="N183" s="26"/>
      <c r="O183" s="26"/>
      <c r="P183" s="26"/>
      <c r="Q183" s="26"/>
      <c r="R183" s="29"/>
      <c r="S183" s="26"/>
      <c r="T183" s="44"/>
      <c r="U183" s="26"/>
      <c r="V183" s="26"/>
      <c r="W183" s="27"/>
      <c r="X183" s="26"/>
    </row>
    <row r="184" spans="1:24" x14ac:dyDescent="0.25">
      <c r="A184" s="26"/>
      <c r="B184" s="25" t="str">
        <f>IF($A184="","",IFERROR(INDEX('Inventario General'!$C$5:$C$304,MATCH($A184,'Inventario General'!$A$5:$A$304,0))&amp;"","No está en el inventario"))</f>
        <v/>
      </c>
      <c r="C184" s="25" t="str">
        <f>IF($A184="","",IFERROR(INDEX('Inventario General'!$D$5:$D$304,MATCH($A184,'Inventario General'!$A$5:$A$304,0))&amp;"","No está en el inventario"))</f>
        <v/>
      </c>
      <c r="D184" s="25" t="str">
        <f>IF($A184="","",IFERROR(INDEX('Inventario General'!$I$5:$I$304,MATCH($A184,'Inventario General'!$A$5:$A$304,0))&amp;"","No está en el inventario"))</f>
        <v/>
      </c>
      <c r="E184" s="26"/>
      <c r="F184" s="26"/>
      <c r="G184" s="26"/>
      <c r="H184" s="29"/>
      <c r="I184" s="29"/>
      <c r="J184" s="44"/>
      <c r="K184" s="47"/>
      <c r="L184" s="26"/>
      <c r="M184" s="29"/>
      <c r="N184" s="26"/>
      <c r="O184" s="26"/>
      <c r="P184" s="26"/>
      <c r="Q184" s="26"/>
      <c r="R184" s="29"/>
      <c r="S184" s="26"/>
      <c r="T184" s="44"/>
      <c r="U184" s="26"/>
      <c r="V184" s="26"/>
      <c r="W184" s="27"/>
      <c r="X184" s="26"/>
    </row>
    <row r="185" spans="1:24" x14ac:dyDescent="0.25">
      <c r="A185" s="26"/>
      <c r="B185" s="25" t="str">
        <f>IF($A185="","",IFERROR(INDEX('Inventario General'!$C$5:$C$304,MATCH($A185,'Inventario General'!$A$5:$A$304,0))&amp;"","No está en el inventario"))</f>
        <v/>
      </c>
      <c r="C185" s="25" t="str">
        <f>IF($A185="","",IFERROR(INDEX('Inventario General'!$D$5:$D$304,MATCH($A185,'Inventario General'!$A$5:$A$304,0))&amp;"","No está en el inventario"))</f>
        <v/>
      </c>
      <c r="D185" s="25" t="str">
        <f>IF($A185="","",IFERROR(INDEX('Inventario General'!$I$5:$I$304,MATCH($A185,'Inventario General'!$A$5:$A$304,0))&amp;"","No está en el inventario"))</f>
        <v/>
      </c>
      <c r="E185" s="26"/>
      <c r="F185" s="26"/>
      <c r="G185" s="26"/>
      <c r="H185" s="29"/>
      <c r="I185" s="29"/>
      <c r="J185" s="44"/>
      <c r="K185" s="47"/>
      <c r="L185" s="26"/>
      <c r="M185" s="29"/>
      <c r="N185" s="26"/>
      <c r="O185" s="26"/>
      <c r="P185" s="26"/>
      <c r="Q185" s="26"/>
      <c r="R185" s="29"/>
      <c r="S185" s="26"/>
      <c r="T185" s="44"/>
      <c r="U185" s="26"/>
      <c r="V185" s="26"/>
      <c r="W185" s="27"/>
      <c r="X185" s="26"/>
    </row>
    <row r="186" spans="1:24" x14ac:dyDescent="0.25">
      <c r="A186" s="26"/>
      <c r="B186" s="25" t="str">
        <f>IF($A186="","",IFERROR(INDEX('Inventario General'!$C$5:$C$304,MATCH($A186,'Inventario General'!$A$5:$A$304,0))&amp;"","No está en el inventario"))</f>
        <v/>
      </c>
      <c r="C186" s="25" t="str">
        <f>IF($A186="","",IFERROR(INDEX('Inventario General'!$D$5:$D$304,MATCH($A186,'Inventario General'!$A$5:$A$304,0))&amp;"","No está en el inventario"))</f>
        <v/>
      </c>
      <c r="D186" s="25" t="str">
        <f>IF($A186="","",IFERROR(INDEX('Inventario General'!$I$5:$I$304,MATCH($A186,'Inventario General'!$A$5:$A$304,0))&amp;"","No está en el inventario"))</f>
        <v/>
      </c>
      <c r="E186" s="26"/>
      <c r="F186" s="26"/>
      <c r="G186" s="26"/>
      <c r="H186" s="29"/>
      <c r="I186" s="29"/>
      <c r="J186" s="44"/>
      <c r="K186" s="47"/>
      <c r="L186" s="26"/>
      <c r="M186" s="29"/>
      <c r="N186" s="26"/>
      <c r="O186" s="26"/>
      <c r="P186" s="26"/>
      <c r="Q186" s="26"/>
      <c r="R186" s="29"/>
      <c r="S186" s="26"/>
      <c r="T186" s="44"/>
      <c r="U186" s="26"/>
      <c r="V186" s="26"/>
      <c r="W186" s="27"/>
      <c r="X186" s="26"/>
    </row>
    <row r="187" spans="1:24" x14ac:dyDescent="0.25">
      <c r="A187" s="26"/>
      <c r="B187" s="25" t="str">
        <f>IF($A187="","",IFERROR(INDEX('Inventario General'!$C$5:$C$304,MATCH($A187,'Inventario General'!$A$5:$A$304,0))&amp;"","No está en el inventario"))</f>
        <v/>
      </c>
      <c r="C187" s="25" t="str">
        <f>IF($A187="","",IFERROR(INDEX('Inventario General'!$D$5:$D$304,MATCH($A187,'Inventario General'!$A$5:$A$304,0))&amp;"","No está en el inventario"))</f>
        <v/>
      </c>
      <c r="D187" s="25" t="str">
        <f>IF($A187="","",IFERROR(INDEX('Inventario General'!$I$5:$I$304,MATCH($A187,'Inventario General'!$A$5:$A$304,0))&amp;"","No está en el inventario"))</f>
        <v/>
      </c>
      <c r="E187" s="26"/>
      <c r="F187" s="26"/>
      <c r="G187" s="26"/>
      <c r="H187" s="29"/>
      <c r="I187" s="29"/>
      <c r="J187" s="44"/>
      <c r="K187" s="47"/>
      <c r="L187" s="26"/>
      <c r="M187" s="29"/>
      <c r="N187" s="26"/>
      <c r="O187" s="26"/>
      <c r="P187" s="26"/>
      <c r="Q187" s="26"/>
      <c r="R187" s="29"/>
      <c r="S187" s="26"/>
      <c r="T187" s="44"/>
      <c r="U187" s="26"/>
      <c r="V187" s="26"/>
      <c r="W187" s="27"/>
      <c r="X187" s="26"/>
    </row>
    <row r="188" spans="1:24" x14ac:dyDescent="0.25">
      <c r="A188" s="26"/>
      <c r="B188" s="25" t="str">
        <f>IF($A188="","",IFERROR(INDEX('Inventario General'!$C$5:$C$304,MATCH($A188,'Inventario General'!$A$5:$A$304,0))&amp;"","No está en el inventario"))</f>
        <v/>
      </c>
      <c r="C188" s="25" t="str">
        <f>IF($A188="","",IFERROR(INDEX('Inventario General'!$D$5:$D$304,MATCH($A188,'Inventario General'!$A$5:$A$304,0))&amp;"","No está en el inventario"))</f>
        <v/>
      </c>
      <c r="D188" s="25" t="str">
        <f>IF($A188="","",IFERROR(INDEX('Inventario General'!$I$5:$I$304,MATCH($A188,'Inventario General'!$A$5:$A$304,0))&amp;"","No está en el inventario"))</f>
        <v/>
      </c>
      <c r="E188" s="26"/>
      <c r="F188" s="26"/>
      <c r="G188" s="26"/>
      <c r="H188" s="29"/>
      <c r="I188" s="29"/>
      <c r="J188" s="44"/>
      <c r="K188" s="47"/>
      <c r="L188" s="26"/>
      <c r="M188" s="29"/>
      <c r="N188" s="26"/>
      <c r="O188" s="26"/>
      <c r="P188" s="26"/>
      <c r="Q188" s="26"/>
      <c r="R188" s="29"/>
      <c r="S188" s="26"/>
      <c r="T188" s="44"/>
      <c r="U188" s="26"/>
      <c r="V188" s="26"/>
      <c r="W188" s="27"/>
      <c r="X188" s="26"/>
    </row>
    <row r="189" spans="1:24" x14ac:dyDescent="0.25">
      <c r="A189" s="26"/>
      <c r="B189" s="25" t="str">
        <f>IF($A189="","",IFERROR(INDEX('Inventario General'!$C$5:$C$304,MATCH($A189,'Inventario General'!$A$5:$A$304,0))&amp;"","No está en el inventario"))</f>
        <v/>
      </c>
      <c r="C189" s="25" t="str">
        <f>IF($A189="","",IFERROR(INDEX('Inventario General'!$D$5:$D$304,MATCH($A189,'Inventario General'!$A$5:$A$304,0))&amp;"","No está en el inventario"))</f>
        <v/>
      </c>
      <c r="D189" s="25" t="str">
        <f>IF($A189="","",IFERROR(INDEX('Inventario General'!$I$5:$I$304,MATCH($A189,'Inventario General'!$A$5:$A$304,0))&amp;"","No está en el inventario"))</f>
        <v/>
      </c>
      <c r="E189" s="26"/>
      <c r="F189" s="26"/>
      <c r="G189" s="26"/>
      <c r="H189" s="29"/>
      <c r="I189" s="29"/>
      <c r="J189" s="44"/>
      <c r="K189" s="47"/>
      <c r="L189" s="26"/>
      <c r="M189" s="29"/>
      <c r="N189" s="26"/>
      <c r="O189" s="26"/>
      <c r="P189" s="26"/>
      <c r="Q189" s="26"/>
      <c r="R189" s="29"/>
      <c r="S189" s="26"/>
      <c r="T189" s="44"/>
      <c r="U189" s="26"/>
      <c r="V189" s="26"/>
      <c r="W189" s="27"/>
      <c r="X189" s="26"/>
    </row>
    <row r="190" spans="1:24" x14ac:dyDescent="0.25">
      <c r="A190" s="26"/>
      <c r="B190" s="25" t="str">
        <f>IF($A190="","",IFERROR(INDEX('Inventario General'!$C$5:$C$304,MATCH($A190,'Inventario General'!$A$5:$A$304,0))&amp;"","No está en el inventario"))</f>
        <v/>
      </c>
      <c r="C190" s="25" t="str">
        <f>IF($A190="","",IFERROR(INDEX('Inventario General'!$D$5:$D$304,MATCH($A190,'Inventario General'!$A$5:$A$304,0))&amp;"","No está en el inventario"))</f>
        <v/>
      </c>
      <c r="D190" s="25" t="str">
        <f>IF($A190="","",IFERROR(INDEX('Inventario General'!$I$5:$I$304,MATCH($A190,'Inventario General'!$A$5:$A$304,0))&amp;"","No está en el inventario"))</f>
        <v/>
      </c>
      <c r="E190" s="26"/>
      <c r="F190" s="26"/>
      <c r="G190" s="26"/>
      <c r="H190" s="29"/>
      <c r="I190" s="29"/>
      <c r="J190" s="44"/>
      <c r="K190" s="47"/>
      <c r="L190" s="26"/>
      <c r="M190" s="29"/>
      <c r="N190" s="26"/>
      <c r="O190" s="26"/>
      <c r="P190" s="26"/>
      <c r="Q190" s="26"/>
      <c r="R190" s="29"/>
      <c r="S190" s="26"/>
      <c r="T190" s="44"/>
      <c r="U190" s="26"/>
      <c r="V190" s="26"/>
      <c r="W190" s="27"/>
      <c r="X190" s="26"/>
    </row>
    <row r="191" spans="1:24" x14ac:dyDescent="0.25">
      <c r="A191" s="26"/>
      <c r="B191" s="25" t="str">
        <f>IF($A191="","",IFERROR(INDEX('Inventario General'!$C$5:$C$304,MATCH($A191,'Inventario General'!$A$5:$A$304,0))&amp;"","No está en el inventario"))</f>
        <v/>
      </c>
      <c r="C191" s="25" t="str">
        <f>IF($A191="","",IFERROR(INDEX('Inventario General'!$D$5:$D$304,MATCH($A191,'Inventario General'!$A$5:$A$304,0))&amp;"","No está en el inventario"))</f>
        <v/>
      </c>
      <c r="D191" s="25" t="str">
        <f>IF($A191="","",IFERROR(INDEX('Inventario General'!$I$5:$I$304,MATCH($A191,'Inventario General'!$A$5:$A$304,0))&amp;"","No está en el inventario"))</f>
        <v/>
      </c>
      <c r="E191" s="26"/>
      <c r="F191" s="26"/>
      <c r="G191" s="26"/>
      <c r="H191" s="29"/>
      <c r="I191" s="29"/>
      <c r="J191" s="44"/>
      <c r="K191" s="47"/>
      <c r="L191" s="26"/>
      <c r="M191" s="29"/>
      <c r="N191" s="26"/>
      <c r="O191" s="26"/>
      <c r="P191" s="26"/>
      <c r="Q191" s="26"/>
      <c r="R191" s="29"/>
      <c r="S191" s="26"/>
      <c r="T191" s="44"/>
      <c r="U191" s="26"/>
      <c r="V191" s="26"/>
      <c r="W191" s="27"/>
      <c r="X191" s="26"/>
    </row>
    <row r="192" spans="1:24" x14ac:dyDescent="0.25">
      <c r="A192" s="26"/>
      <c r="B192" s="25" t="str">
        <f>IF($A192="","",IFERROR(INDEX('Inventario General'!$C$5:$C$304,MATCH($A192,'Inventario General'!$A$5:$A$304,0))&amp;"","No está en el inventario"))</f>
        <v/>
      </c>
      <c r="C192" s="25" t="str">
        <f>IF($A192="","",IFERROR(INDEX('Inventario General'!$D$5:$D$304,MATCH($A192,'Inventario General'!$A$5:$A$304,0))&amp;"","No está en el inventario"))</f>
        <v/>
      </c>
      <c r="D192" s="25" t="str">
        <f>IF($A192="","",IFERROR(INDEX('Inventario General'!$I$5:$I$304,MATCH($A192,'Inventario General'!$A$5:$A$304,0))&amp;"","No está en el inventario"))</f>
        <v/>
      </c>
      <c r="E192" s="26"/>
      <c r="F192" s="26"/>
      <c r="G192" s="26"/>
      <c r="H192" s="29"/>
      <c r="I192" s="29"/>
      <c r="J192" s="44"/>
      <c r="K192" s="47"/>
      <c r="L192" s="26"/>
      <c r="M192" s="29"/>
      <c r="N192" s="26"/>
      <c r="O192" s="26"/>
      <c r="P192" s="26"/>
      <c r="Q192" s="26"/>
      <c r="R192" s="29"/>
      <c r="S192" s="26"/>
      <c r="T192" s="44"/>
      <c r="U192" s="26"/>
      <c r="V192" s="26"/>
      <c r="W192" s="27"/>
      <c r="X192" s="26"/>
    </row>
    <row r="193" spans="1:24" x14ac:dyDescent="0.25">
      <c r="A193" s="26"/>
      <c r="B193" s="25" t="str">
        <f>IF($A193="","",IFERROR(INDEX('Inventario General'!$C$5:$C$304,MATCH($A193,'Inventario General'!$A$5:$A$304,0))&amp;"","No está en el inventario"))</f>
        <v/>
      </c>
      <c r="C193" s="25" t="str">
        <f>IF($A193="","",IFERROR(INDEX('Inventario General'!$D$5:$D$304,MATCH($A193,'Inventario General'!$A$5:$A$304,0))&amp;"","No está en el inventario"))</f>
        <v/>
      </c>
      <c r="D193" s="25" t="str">
        <f>IF($A193="","",IFERROR(INDEX('Inventario General'!$I$5:$I$304,MATCH($A193,'Inventario General'!$A$5:$A$304,0))&amp;"","No está en el inventario"))</f>
        <v/>
      </c>
      <c r="E193" s="26"/>
      <c r="F193" s="26"/>
      <c r="G193" s="26"/>
      <c r="H193" s="29"/>
      <c r="I193" s="29"/>
      <c r="J193" s="44"/>
      <c r="K193" s="47"/>
      <c r="L193" s="26"/>
      <c r="M193" s="29"/>
      <c r="N193" s="26"/>
      <c r="O193" s="26"/>
      <c r="P193" s="26"/>
      <c r="Q193" s="26"/>
      <c r="R193" s="29"/>
      <c r="S193" s="26"/>
      <c r="T193" s="44"/>
      <c r="U193" s="26"/>
      <c r="V193" s="26"/>
      <c r="W193" s="27"/>
      <c r="X193" s="26"/>
    </row>
    <row r="194" spans="1:24" x14ac:dyDescent="0.25">
      <c r="A194" s="26"/>
      <c r="B194" s="25" t="str">
        <f>IF($A194="","",IFERROR(INDEX('Inventario General'!$C$5:$C$304,MATCH($A194,'Inventario General'!$A$5:$A$304,0))&amp;"","No está en el inventario"))</f>
        <v/>
      </c>
      <c r="C194" s="25" t="str">
        <f>IF($A194="","",IFERROR(INDEX('Inventario General'!$D$5:$D$304,MATCH($A194,'Inventario General'!$A$5:$A$304,0))&amp;"","No está en el inventario"))</f>
        <v/>
      </c>
      <c r="D194" s="25" t="str">
        <f>IF($A194="","",IFERROR(INDEX('Inventario General'!$I$5:$I$304,MATCH($A194,'Inventario General'!$A$5:$A$304,0))&amp;"","No está en el inventario"))</f>
        <v/>
      </c>
      <c r="E194" s="26"/>
      <c r="F194" s="26"/>
      <c r="G194" s="26"/>
      <c r="H194" s="29"/>
      <c r="I194" s="29"/>
      <c r="J194" s="44"/>
      <c r="K194" s="47"/>
      <c r="L194" s="26"/>
      <c r="M194" s="29"/>
      <c r="N194" s="26"/>
      <c r="O194" s="26"/>
      <c r="P194" s="26"/>
      <c r="Q194" s="26"/>
      <c r="R194" s="29"/>
      <c r="S194" s="26"/>
      <c r="T194" s="44"/>
      <c r="U194" s="26"/>
      <c r="V194" s="26"/>
      <c r="W194" s="27"/>
      <c r="X194" s="26"/>
    </row>
    <row r="195" spans="1:24" x14ac:dyDescent="0.25">
      <c r="A195" s="26"/>
      <c r="B195" s="25" t="str">
        <f>IF($A195="","",IFERROR(INDEX('Inventario General'!$C$5:$C$304,MATCH($A195,'Inventario General'!$A$5:$A$304,0))&amp;"","No está en el inventario"))</f>
        <v/>
      </c>
      <c r="C195" s="25" t="str">
        <f>IF($A195="","",IFERROR(INDEX('Inventario General'!$D$5:$D$304,MATCH($A195,'Inventario General'!$A$5:$A$304,0))&amp;"","No está en el inventario"))</f>
        <v/>
      </c>
      <c r="D195" s="25" t="str">
        <f>IF($A195="","",IFERROR(INDEX('Inventario General'!$I$5:$I$304,MATCH($A195,'Inventario General'!$A$5:$A$304,0))&amp;"","No está en el inventario"))</f>
        <v/>
      </c>
      <c r="E195" s="26"/>
      <c r="F195" s="26"/>
      <c r="G195" s="26"/>
      <c r="H195" s="29"/>
      <c r="I195" s="29"/>
      <c r="J195" s="44"/>
      <c r="K195" s="47"/>
      <c r="L195" s="26"/>
      <c r="M195" s="29"/>
      <c r="N195" s="26"/>
      <c r="O195" s="26"/>
      <c r="P195" s="26"/>
      <c r="Q195" s="26"/>
      <c r="R195" s="29"/>
      <c r="S195" s="26"/>
      <c r="T195" s="44"/>
      <c r="U195" s="26"/>
      <c r="V195" s="26"/>
      <c r="W195" s="27"/>
      <c r="X195" s="26"/>
    </row>
    <row r="196" spans="1:24" x14ac:dyDescent="0.25">
      <c r="A196" s="26"/>
      <c r="B196" s="25" t="str">
        <f>IF($A196="","",IFERROR(INDEX('Inventario General'!$C$5:$C$304,MATCH($A196,'Inventario General'!$A$5:$A$304,0))&amp;"","No está en el inventario"))</f>
        <v/>
      </c>
      <c r="C196" s="25" t="str">
        <f>IF($A196="","",IFERROR(INDEX('Inventario General'!$D$5:$D$304,MATCH($A196,'Inventario General'!$A$5:$A$304,0))&amp;"","No está en el inventario"))</f>
        <v/>
      </c>
      <c r="D196" s="25" t="str">
        <f>IF($A196="","",IFERROR(INDEX('Inventario General'!$I$5:$I$304,MATCH($A196,'Inventario General'!$A$5:$A$304,0))&amp;"","No está en el inventario"))</f>
        <v/>
      </c>
      <c r="E196" s="26"/>
      <c r="F196" s="26"/>
      <c r="G196" s="26"/>
      <c r="H196" s="29"/>
      <c r="I196" s="29"/>
      <c r="J196" s="44"/>
      <c r="K196" s="47"/>
      <c r="L196" s="26"/>
      <c r="M196" s="29"/>
      <c r="N196" s="26"/>
      <c r="O196" s="26"/>
      <c r="P196" s="26"/>
      <c r="Q196" s="26"/>
      <c r="R196" s="29"/>
      <c r="S196" s="26"/>
      <c r="T196" s="44"/>
      <c r="U196" s="26"/>
      <c r="V196" s="26"/>
      <c r="W196" s="27"/>
      <c r="X196" s="26"/>
    </row>
    <row r="197" spans="1:24" x14ac:dyDescent="0.25">
      <c r="A197" s="26"/>
      <c r="B197" s="25" t="str">
        <f>IF($A197="","",IFERROR(INDEX('Inventario General'!$C$5:$C$304,MATCH($A197,'Inventario General'!$A$5:$A$304,0))&amp;"","No está en el inventario"))</f>
        <v/>
      </c>
      <c r="C197" s="25" t="str">
        <f>IF($A197="","",IFERROR(INDEX('Inventario General'!$D$5:$D$304,MATCH($A197,'Inventario General'!$A$5:$A$304,0))&amp;"","No está en el inventario"))</f>
        <v/>
      </c>
      <c r="D197" s="25" t="str">
        <f>IF($A197="","",IFERROR(INDEX('Inventario General'!$I$5:$I$304,MATCH($A197,'Inventario General'!$A$5:$A$304,0))&amp;"","No está en el inventario"))</f>
        <v/>
      </c>
      <c r="E197" s="26"/>
      <c r="F197" s="26"/>
      <c r="G197" s="26"/>
      <c r="H197" s="29"/>
      <c r="I197" s="29"/>
      <c r="J197" s="44"/>
      <c r="K197" s="47"/>
      <c r="L197" s="26"/>
      <c r="M197" s="29"/>
      <c r="N197" s="26"/>
      <c r="O197" s="26"/>
      <c r="P197" s="26"/>
      <c r="Q197" s="26"/>
      <c r="R197" s="29"/>
      <c r="S197" s="26"/>
      <c r="T197" s="44"/>
      <c r="U197" s="26"/>
      <c r="V197" s="26"/>
      <c r="W197" s="27"/>
      <c r="X197" s="26"/>
    </row>
    <row r="198" spans="1:24" x14ac:dyDescent="0.25">
      <c r="A198" s="26"/>
      <c r="B198" s="25" t="str">
        <f>IF($A198="","",IFERROR(INDEX('Inventario General'!$C$5:$C$304,MATCH($A198,'Inventario General'!$A$5:$A$304,0))&amp;"","No está en el inventario"))</f>
        <v/>
      </c>
      <c r="C198" s="25" t="str">
        <f>IF($A198="","",IFERROR(INDEX('Inventario General'!$D$5:$D$304,MATCH($A198,'Inventario General'!$A$5:$A$304,0))&amp;"","No está en el inventario"))</f>
        <v/>
      </c>
      <c r="D198" s="25" t="str">
        <f>IF($A198="","",IFERROR(INDEX('Inventario General'!$I$5:$I$304,MATCH($A198,'Inventario General'!$A$5:$A$304,0))&amp;"","No está en el inventario"))</f>
        <v/>
      </c>
      <c r="E198" s="26"/>
      <c r="F198" s="26"/>
      <c r="G198" s="26"/>
      <c r="H198" s="29"/>
      <c r="I198" s="29"/>
      <c r="J198" s="44"/>
      <c r="K198" s="47"/>
      <c r="L198" s="26"/>
      <c r="M198" s="29"/>
      <c r="N198" s="26"/>
      <c r="O198" s="26"/>
      <c r="P198" s="26"/>
      <c r="Q198" s="26"/>
      <c r="R198" s="29"/>
      <c r="S198" s="26"/>
      <c r="T198" s="44"/>
      <c r="U198" s="26"/>
      <c r="V198" s="26"/>
      <c r="W198" s="27"/>
      <c r="X198" s="26"/>
    </row>
    <row r="199" spans="1:24" x14ac:dyDescent="0.25">
      <c r="A199" s="26"/>
      <c r="B199" s="25" t="str">
        <f>IF($A199="","",IFERROR(INDEX('Inventario General'!$C$5:$C$304,MATCH($A199,'Inventario General'!$A$5:$A$304,0))&amp;"","No está en el inventario"))</f>
        <v/>
      </c>
      <c r="C199" s="25" t="str">
        <f>IF($A199="","",IFERROR(INDEX('Inventario General'!$D$5:$D$304,MATCH($A199,'Inventario General'!$A$5:$A$304,0))&amp;"","No está en el inventario"))</f>
        <v/>
      </c>
      <c r="D199" s="25" t="str">
        <f>IF($A199="","",IFERROR(INDEX('Inventario General'!$I$5:$I$304,MATCH($A199,'Inventario General'!$A$5:$A$304,0))&amp;"","No está en el inventario"))</f>
        <v/>
      </c>
      <c r="E199" s="26"/>
      <c r="F199" s="26"/>
      <c r="G199" s="26"/>
      <c r="H199" s="29"/>
      <c r="I199" s="29"/>
      <c r="J199" s="44"/>
      <c r="K199" s="47"/>
      <c r="L199" s="26"/>
      <c r="M199" s="29"/>
      <c r="N199" s="26"/>
      <c r="O199" s="26"/>
      <c r="P199" s="26"/>
      <c r="Q199" s="26"/>
      <c r="R199" s="29"/>
      <c r="S199" s="26"/>
      <c r="T199" s="44"/>
      <c r="U199" s="26"/>
      <c r="V199" s="26"/>
      <c r="W199" s="27"/>
      <c r="X199" s="26"/>
    </row>
    <row r="200" spans="1:24" x14ac:dyDescent="0.25">
      <c r="A200" s="26"/>
      <c r="B200" s="25" t="str">
        <f>IF($A200="","",IFERROR(INDEX('Inventario General'!$C$5:$C$304,MATCH($A200,'Inventario General'!$A$5:$A$304,0))&amp;"","No está en el inventario"))</f>
        <v/>
      </c>
      <c r="C200" s="25" t="str">
        <f>IF($A200="","",IFERROR(INDEX('Inventario General'!$D$5:$D$304,MATCH($A200,'Inventario General'!$A$5:$A$304,0))&amp;"","No está en el inventario"))</f>
        <v/>
      </c>
      <c r="D200" s="25" t="str">
        <f>IF($A200="","",IFERROR(INDEX('Inventario General'!$I$5:$I$304,MATCH($A200,'Inventario General'!$A$5:$A$304,0))&amp;"","No está en el inventario"))</f>
        <v/>
      </c>
      <c r="E200" s="26"/>
      <c r="F200" s="26"/>
      <c r="G200" s="26"/>
      <c r="H200" s="29"/>
      <c r="I200" s="29"/>
      <c r="J200" s="44"/>
      <c r="K200" s="47"/>
      <c r="L200" s="26"/>
      <c r="M200" s="29"/>
      <c r="N200" s="26"/>
      <c r="O200" s="26"/>
      <c r="P200" s="26"/>
      <c r="Q200" s="26"/>
      <c r="R200" s="29"/>
      <c r="S200" s="26"/>
      <c r="T200" s="44"/>
      <c r="U200" s="26"/>
      <c r="V200" s="26"/>
      <c r="W200" s="27"/>
      <c r="X200" s="26"/>
    </row>
    <row r="201" spans="1:24" x14ac:dyDescent="0.25">
      <c r="A201" s="26"/>
      <c r="B201" s="25" t="str">
        <f>IF($A201="","",IFERROR(INDEX('Inventario General'!$C$5:$C$304,MATCH($A201,'Inventario General'!$A$5:$A$304,0))&amp;"","No está en el inventario"))</f>
        <v/>
      </c>
      <c r="C201" s="25" t="str">
        <f>IF($A201="","",IFERROR(INDEX('Inventario General'!$D$5:$D$304,MATCH($A201,'Inventario General'!$A$5:$A$304,0))&amp;"","No está en el inventario"))</f>
        <v/>
      </c>
      <c r="D201" s="25" t="str">
        <f>IF($A201="","",IFERROR(INDEX('Inventario General'!$I$5:$I$304,MATCH($A201,'Inventario General'!$A$5:$A$304,0))&amp;"","No está en el inventario"))</f>
        <v/>
      </c>
      <c r="E201" s="26"/>
      <c r="F201" s="26"/>
      <c r="G201" s="26"/>
      <c r="H201" s="29"/>
      <c r="I201" s="29"/>
      <c r="J201" s="44"/>
      <c r="K201" s="47"/>
      <c r="L201" s="26"/>
      <c r="M201" s="29"/>
      <c r="N201" s="26"/>
      <c r="O201" s="26"/>
      <c r="P201" s="26"/>
      <c r="Q201" s="26"/>
      <c r="R201" s="29"/>
      <c r="S201" s="26"/>
      <c r="T201" s="44"/>
      <c r="U201" s="26"/>
      <c r="V201" s="26"/>
      <c r="W201" s="27"/>
      <c r="X201" s="26"/>
    </row>
    <row r="202" spans="1:24" x14ac:dyDescent="0.25">
      <c r="A202" s="26"/>
      <c r="B202" s="25" t="str">
        <f>IF($A202="","",IFERROR(INDEX('Inventario General'!$C$5:$C$304,MATCH($A202,'Inventario General'!$A$5:$A$304,0))&amp;"","No está en el inventario"))</f>
        <v/>
      </c>
      <c r="C202" s="25" t="str">
        <f>IF($A202="","",IFERROR(INDEX('Inventario General'!$D$5:$D$304,MATCH($A202,'Inventario General'!$A$5:$A$304,0))&amp;"","No está en el inventario"))</f>
        <v/>
      </c>
      <c r="D202" s="25" t="str">
        <f>IF($A202="","",IFERROR(INDEX('Inventario General'!$I$5:$I$304,MATCH($A202,'Inventario General'!$A$5:$A$304,0))&amp;"","No está en el inventario"))</f>
        <v/>
      </c>
      <c r="E202" s="26"/>
      <c r="F202" s="26"/>
      <c r="G202" s="26"/>
      <c r="H202" s="29"/>
      <c r="I202" s="29"/>
      <c r="J202" s="44"/>
      <c r="K202" s="47"/>
      <c r="L202" s="26"/>
      <c r="M202" s="29"/>
      <c r="N202" s="26"/>
      <c r="O202" s="26"/>
      <c r="P202" s="26"/>
      <c r="Q202" s="26"/>
      <c r="R202" s="29"/>
      <c r="S202" s="26"/>
      <c r="T202" s="44"/>
      <c r="U202" s="26"/>
      <c r="V202" s="26"/>
      <c r="W202" s="27"/>
      <c r="X202" s="26"/>
    </row>
    <row r="203" spans="1:24" x14ac:dyDescent="0.25">
      <c r="A203" s="26"/>
      <c r="B203" s="25" t="str">
        <f>IF($A203="","",IFERROR(INDEX('Inventario General'!$C$5:$C$304,MATCH($A203,'Inventario General'!$A$5:$A$304,0))&amp;"","No está en el inventario"))</f>
        <v/>
      </c>
      <c r="C203" s="25" t="str">
        <f>IF($A203="","",IFERROR(INDEX('Inventario General'!$D$5:$D$304,MATCH($A203,'Inventario General'!$A$5:$A$304,0))&amp;"","No está en el inventario"))</f>
        <v/>
      </c>
      <c r="D203" s="25" t="str">
        <f>IF($A203="","",IFERROR(INDEX('Inventario General'!$I$5:$I$304,MATCH($A203,'Inventario General'!$A$5:$A$304,0))&amp;"","No está en el inventario"))</f>
        <v/>
      </c>
      <c r="E203" s="26"/>
      <c r="F203" s="26"/>
      <c r="G203" s="26"/>
      <c r="H203" s="29"/>
      <c r="I203" s="29"/>
      <c r="J203" s="44"/>
      <c r="K203" s="47"/>
      <c r="L203" s="26"/>
      <c r="M203" s="29"/>
      <c r="N203" s="26"/>
      <c r="O203" s="26"/>
      <c r="P203" s="26"/>
      <c r="Q203" s="26"/>
      <c r="R203" s="29"/>
      <c r="S203" s="26"/>
      <c r="T203" s="44"/>
      <c r="U203" s="26"/>
      <c r="V203" s="26"/>
      <c r="W203" s="27"/>
      <c r="X203" s="26"/>
    </row>
    <row r="204" spans="1:24" x14ac:dyDescent="0.25">
      <c r="A204" s="26"/>
      <c r="B204" s="25" t="str">
        <f>IF($A204="","",IFERROR(INDEX('Inventario General'!$C$5:$C$304,MATCH($A204,'Inventario General'!$A$5:$A$304,0))&amp;"","No está en el inventario"))</f>
        <v/>
      </c>
      <c r="C204" s="25" t="str">
        <f>IF($A204="","",IFERROR(INDEX('Inventario General'!$D$5:$D$304,MATCH($A204,'Inventario General'!$A$5:$A$304,0))&amp;"","No está en el inventario"))</f>
        <v/>
      </c>
      <c r="D204" s="25" t="str">
        <f>IF($A204="","",IFERROR(INDEX('Inventario General'!$I$5:$I$304,MATCH($A204,'Inventario General'!$A$5:$A$304,0))&amp;"","No está en el inventario"))</f>
        <v/>
      </c>
      <c r="E204" s="26"/>
      <c r="F204" s="26"/>
      <c r="G204" s="26"/>
      <c r="H204" s="29"/>
      <c r="I204" s="29"/>
      <c r="J204" s="44"/>
      <c r="K204" s="47"/>
      <c r="L204" s="26"/>
      <c r="M204" s="29"/>
      <c r="N204" s="26"/>
      <c r="O204" s="26"/>
      <c r="P204" s="26"/>
      <c r="Q204" s="26"/>
      <c r="R204" s="29"/>
      <c r="S204" s="26"/>
      <c r="T204" s="44"/>
      <c r="U204" s="26"/>
      <c r="V204" s="26"/>
      <c r="W204" s="27"/>
      <c r="X204" s="26"/>
    </row>
  </sheetData>
  <autoFilter ref="A4:X204" xr:uid="{00000000-0009-0000-0000-000005000000}"/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Código no encontrado" error="El código debe existir primero en la hoja 'Inventario General'." xr:uid="{00000000-0002-0000-0500-000000000000}">
          <x14:formula1>
            <xm:f>'Inventario General'!$A$5:$A$304</xm:f>
          </x14:formula1>
          <x14:formula2>
            <xm:f>0</xm:f>
          </x14:formula2>
          <xm:sqref>A5:A204</xm:sqref>
        </x14:dataValidation>
        <x14:dataValidation type="list" allowBlank="1" showErrorMessage="1" errorTitle="Valor no válido" error="Elija un valor de la lista. Las listas se editan en la hoja 'Listas'." xr:uid="{00000000-0002-0000-0500-000001000000}">
          <x14:formula1>
            <xm:f>OFFSET(Listas!$N$2,0,0,MAX(1,COUNTA(Listas!$N$2:$N$60)),1)</xm:f>
          </x14:formula1>
          <x14:formula2>
            <xm:f>0</xm:f>
          </x14:formula2>
          <xm:sqref>E5:E204</xm:sqref>
        </x14:dataValidation>
        <x14:dataValidation type="list" allowBlank="1" showErrorMessage="1" errorTitle="Valor no válido" error="Elija un valor de la lista. Las listas se editan en la hoja 'Listas'." xr:uid="{00000000-0002-0000-0500-000002000000}">
          <x14:formula1>
            <xm:f>OFFSET(Listas!$O$2,0,0,MAX(1,COUNTA(Listas!$O$2:$O$60)),1)</xm:f>
          </x14:formula1>
          <x14:formula2>
            <xm:f>0</xm:f>
          </x14:formula2>
          <xm:sqref>F5:F204</xm:sqref>
        </x14:dataValidation>
        <x14:dataValidation type="list" allowBlank="1" showErrorMessage="1" errorTitle="Valor no válido" error="Elija un valor de la lista. Las listas se editan en la hoja 'Listas'." xr:uid="{00000000-0002-0000-0500-000003000000}">
          <x14:formula1>
            <xm:f>OFFSET(Listas!$K$2,0,0,MAX(1,COUNTA(Listas!$K$2:$K$60)),1)</xm:f>
          </x14:formula1>
          <x14:formula2>
            <xm:f>0</xm:f>
          </x14:formula2>
          <xm:sqref>N5:N204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  <pageSetUpPr fitToPage="1"/>
  </sheetPr>
  <dimension ref="A1:S20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9" sqref="G9"/>
    </sheetView>
  </sheetViews>
  <sheetFormatPr baseColWidth="10" defaultColWidth="8.7109375" defaultRowHeight="15" x14ac:dyDescent="0.25"/>
  <cols>
    <col min="1" max="1" width="18" customWidth="1"/>
    <col min="2" max="2" width="14" customWidth="1"/>
    <col min="3" max="4" width="22" customWidth="1"/>
    <col min="5" max="5" width="16" customWidth="1"/>
    <col min="6" max="6" width="9" customWidth="1"/>
    <col min="7" max="7" width="13" customWidth="1"/>
    <col min="8" max="8" width="7" customWidth="1"/>
    <col min="9" max="9" width="12" customWidth="1"/>
    <col min="10" max="10" width="14" customWidth="1"/>
    <col min="11" max="11" width="15" customWidth="1"/>
    <col min="12" max="12" width="19" customWidth="1"/>
    <col min="13" max="13" width="18" customWidth="1"/>
    <col min="14" max="14" width="24" customWidth="1"/>
    <col min="15" max="15" width="20" customWidth="1"/>
    <col min="16" max="16" width="14" customWidth="1"/>
    <col min="17" max="17" width="22" customWidth="1"/>
    <col min="18" max="18" width="15" customWidth="1"/>
    <col min="19" max="19" width="30" customWidth="1"/>
  </cols>
  <sheetData>
    <row r="1" spans="1:19" ht="18" x14ac:dyDescent="0.25">
      <c r="A1" s="18" t="s">
        <v>233</v>
      </c>
    </row>
    <row r="2" spans="1:19" x14ac:dyDescent="0.25">
      <c r="A2" s="11" t="s">
        <v>234</v>
      </c>
    </row>
    <row r="4" spans="1:19" ht="48" customHeight="1" x14ac:dyDescent="0.25">
      <c r="A4" s="12" t="s">
        <v>175</v>
      </c>
      <c r="B4" s="19" t="s">
        <v>79</v>
      </c>
      <c r="C4" s="19" t="s">
        <v>80</v>
      </c>
      <c r="D4" s="19" t="s">
        <v>176</v>
      </c>
      <c r="E4" s="12" t="s">
        <v>235</v>
      </c>
      <c r="F4" s="12" t="s">
        <v>236</v>
      </c>
      <c r="G4" s="12" t="s">
        <v>237</v>
      </c>
      <c r="H4" s="12" t="s">
        <v>238</v>
      </c>
      <c r="I4" s="12" t="s">
        <v>239</v>
      </c>
      <c r="J4" s="12" t="s">
        <v>240</v>
      </c>
      <c r="K4" s="12" t="s">
        <v>241</v>
      </c>
      <c r="L4" s="12" t="s">
        <v>163</v>
      </c>
      <c r="M4" s="12" t="s">
        <v>242</v>
      </c>
      <c r="N4" s="12" t="s">
        <v>243</v>
      </c>
      <c r="O4" s="12" t="s">
        <v>244</v>
      </c>
      <c r="P4" s="12" t="s">
        <v>245</v>
      </c>
      <c r="Q4" s="12" t="s">
        <v>246</v>
      </c>
      <c r="R4" s="12" t="s">
        <v>247</v>
      </c>
      <c r="S4" s="12" t="s">
        <v>100</v>
      </c>
    </row>
    <row r="5" spans="1:19" x14ac:dyDescent="0.25">
      <c r="A5" s="20" t="s">
        <v>130</v>
      </c>
      <c r="B5" s="25" t="str">
        <f>IF($A5="","",IFERROR(INDEX('Inventario General'!$C$5:$C$304,MATCH($A5,'Inventario General'!$A$5:$A$304,0))&amp;"","No está en el inventario"))</f>
        <v>Cisco</v>
      </c>
      <c r="C5" s="25" t="str">
        <f>IF($A5="","",IFERROR(INDEX('Inventario General'!$D$5:$D$304,MATCH($A5,'Inventario General'!$A$5:$A$304,0))&amp;"","No está en el inventario"))</f>
        <v>Catalyst 9200L-24P</v>
      </c>
      <c r="D5" s="25" t="str">
        <f>IF($A5="","",IFERROR(INDEX('Inventario General'!$I$5:$I$304,MATCH($A5,'Inventario General'!$A$5:$A$304,0))&amp;"","No está en el inventario"))</f>
        <v>Equipo de TI</v>
      </c>
      <c r="E5" s="20" t="s">
        <v>131</v>
      </c>
      <c r="F5" s="23">
        <v>24</v>
      </c>
      <c r="G5" s="20" t="s">
        <v>248</v>
      </c>
      <c r="H5" s="20" t="s">
        <v>203</v>
      </c>
      <c r="I5" s="20" t="s">
        <v>203</v>
      </c>
      <c r="J5" s="20" t="s">
        <v>249</v>
      </c>
      <c r="K5" s="20" t="s">
        <v>250</v>
      </c>
      <c r="L5" s="20" t="s">
        <v>251</v>
      </c>
      <c r="M5" s="20" t="s">
        <v>252</v>
      </c>
      <c r="N5" s="20" t="s">
        <v>253</v>
      </c>
      <c r="O5" s="20" t="s">
        <v>254</v>
      </c>
      <c r="P5" s="42">
        <v>300</v>
      </c>
      <c r="Q5" s="20" t="s">
        <v>124</v>
      </c>
      <c r="R5" s="21">
        <v>46280</v>
      </c>
      <c r="S5" s="20" t="s">
        <v>129</v>
      </c>
    </row>
    <row r="6" spans="1:19" x14ac:dyDescent="0.25">
      <c r="A6" s="26"/>
      <c r="B6" s="25" t="str">
        <f>IF($A6="","",IFERROR(INDEX('Inventario General'!$C$5:$C$304,MATCH($A6,'Inventario General'!$A$5:$A$304,0))&amp;"","No está en el inventario"))</f>
        <v/>
      </c>
      <c r="C6" s="25" t="str">
        <f>IF($A6="","",IFERROR(INDEX('Inventario General'!$D$5:$D$304,MATCH($A6,'Inventario General'!$A$5:$A$304,0))&amp;"","No está en el inventario"))</f>
        <v/>
      </c>
      <c r="D6" s="25" t="str">
        <f>IF($A6="","",IFERROR(INDEX('Inventario General'!$I$5:$I$304,MATCH($A6,'Inventario General'!$A$5:$A$304,0))&amp;"","No está en el inventario"))</f>
        <v/>
      </c>
      <c r="E6" s="26"/>
      <c r="F6" s="29"/>
      <c r="G6" s="26"/>
      <c r="H6" s="26"/>
      <c r="I6" s="26"/>
      <c r="J6" s="26"/>
      <c r="K6" s="26"/>
      <c r="L6" s="26"/>
      <c r="M6" s="26"/>
      <c r="N6" s="26"/>
      <c r="O6" s="26"/>
      <c r="P6" s="44"/>
      <c r="Q6" s="26"/>
      <c r="R6" s="27"/>
      <c r="S6" s="26"/>
    </row>
    <row r="7" spans="1:19" x14ac:dyDescent="0.25">
      <c r="A7" s="26"/>
      <c r="B7" s="25" t="str">
        <f>IF($A7="","",IFERROR(INDEX('Inventario General'!$C$5:$C$304,MATCH($A7,'Inventario General'!$A$5:$A$304,0))&amp;"","No está en el inventario"))</f>
        <v/>
      </c>
      <c r="C7" s="25" t="str">
        <f>IF($A7="","",IFERROR(INDEX('Inventario General'!$D$5:$D$304,MATCH($A7,'Inventario General'!$A$5:$A$304,0))&amp;"","No está en el inventario"))</f>
        <v/>
      </c>
      <c r="D7" s="25" t="str">
        <f>IF($A7="","",IFERROR(INDEX('Inventario General'!$I$5:$I$304,MATCH($A7,'Inventario General'!$A$5:$A$304,0))&amp;"","No está en el inventario"))</f>
        <v/>
      </c>
      <c r="E7" s="26"/>
      <c r="F7" s="29"/>
      <c r="G7" s="26"/>
      <c r="H7" s="26"/>
      <c r="I7" s="26"/>
      <c r="J7" s="26"/>
      <c r="K7" s="26"/>
      <c r="L7" s="26"/>
      <c r="M7" s="26"/>
      <c r="N7" s="26"/>
      <c r="O7" s="26"/>
      <c r="P7" s="44"/>
      <c r="Q7" s="26"/>
      <c r="R7" s="27"/>
      <c r="S7" s="26"/>
    </row>
    <row r="8" spans="1:19" x14ac:dyDescent="0.25">
      <c r="A8" s="26"/>
      <c r="B8" s="25" t="str">
        <f>IF($A8="","",IFERROR(INDEX('Inventario General'!$C$5:$C$304,MATCH($A8,'Inventario General'!$A$5:$A$304,0))&amp;"","No está en el inventario"))</f>
        <v/>
      </c>
      <c r="C8" s="25" t="str">
        <f>IF($A8="","",IFERROR(INDEX('Inventario General'!$D$5:$D$304,MATCH($A8,'Inventario General'!$A$5:$A$304,0))&amp;"","No está en el inventario"))</f>
        <v/>
      </c>
      <c r="D8" s="25" t="str">
        <f>IF($A8="","",IFERROR(INDEX('Inventario General'!$I$5:$I$304,MATCH($A8,'Inventario General'!$A$5:$A$304,0))&amp;"","No está en el inventario"))</f>
        <v/>
      </c>
      <c r="E8" s="26"/>
      <c r="F8" s="29"/>
      <c r="G8" s="26"/>
      <c r="H8" s="26"/>
      <c r="I8" s="26"/>
      <c r="J8" s="26"/>
      <c r="K8" s="26"/>
      <c r="L8" s="26"/>
      <c r="M8" s="26"/>
      <c r="N8" s="26"/>
      <c r="O8" s="26"/>
      <c r="P8" s="44"/>
      <c r="Q8" s="26"/>
      <c r="R8" s="27"/>
      <c r="S8" s="26"/>
    </row>
    <row r="9" spans="1:19" x14ac:dyDescent="0.25">
      <c r="A9" s="26"/>
      <c r="B9" s="25" t="str">
        <f>IF($A9="","",IFERROR(INDEX('Inventario General'!$C$5:$C$304,MATCH($A9,'Inventario General'!$A$5:$A$304,0))&amp;"","No está en el inventario"))</f>
        <v/>
      </c>
      <c r="C9" s="25" t="str">
        <f>IF($A9="","",IFERROR(INDEX('Inventario General'!$D$5:$D$304,MATCH($A9,'Inventario General'!$A$5:$A$304,0))&amp;"","No está en el inventario"))</f>
        <v/>
      </c>
      <c r="D9" s="25" t="str">
        <f>IF($A9="","",IFERROR(INDEX('Inventario General'!$I$5:$I$304,MATCH($A9,'Inventario General'!$A$5:$A$304,0))&amp;"","No está en el inventario"))</f>
        <v/>
      </c>
      <c r="E9" s="26"/>
      <c r="F9" s="29"/>
      <c r="G9" s="26"/>
      <c r="H9" s="26"/>
      <c r="I9" s="26"/>
      <c r="J9" s="26"/>
      <c r="K9" s="26"/>
      <c r="L9" s="26"/>
      <c r="M9" s="26"/>
      <c r="N9" s="26"/>
      <c r="O9" s="26"/>
      <c r="P9" s="44"/>
      <c r="Q9" s="26"/>
      <c r="R9" s="27"/>
      <c r="S9" s="26"/>
    </row>
    <row r="10" spans="1:19" x14ac:dyDescent="0.25">
      <c r="A10" s="26"/>
      <c r="B10" s="25" t="str">
        <f>IF($A10="","",IFERROR(INDEX('Inventario General'!$C$5:$C$304,MATCH($A10,'Inventario General'!$A$5:$A$304,0))&amp;"","No está en el inventario"))</f>
        <v/>
      </c>
      <c r="C10" s="25" t="str">
        <f>IF($A10="","",IFERROR(INDEX('Inventario General'!$D$5:$D$304,MATCH($A10,'Inventario General'!$A$5:$A$304,0))&amp;"","No está en el inventario"))</f>
        <v/>
      </c>
      <c r="D10" s="25" t="str">
        <f>IF($A10="","",IFERROR(INDEX('Inventario General'!$I$5:$I$304,MATCH($A10,'Inventario General'!$A$5:$A$304,0))&amp;"","No está en el inventario"))</f>
        <v/>
      </c>
      <c r="E10" s="26"/>
      <c r="F10" s="29"/>
      <c r="G10" s="26"/>
      <c r="H10" s="26"/>
      <c r="I10" s="26"/>
      <c r="J10" s="26"/>
      <c r="K10" s="26"/>
      <c r="L10" s="26"/>
      <c r="M10" s="26"/>
      <c r="N10" s="26"/>
      <c r="O10" s="26"/>
      <c r="P10" s="44"/>
      <c r="Q10" s="26"/>
      <c r="R10" s="27"/>
      <c r="S10" s="26"/>
    </row>
    <row r="11" spans="1:19" x14ac:dyDescent="0.25">
      <c r="A11" s="26"/>
      <c r="B11" s="25" t="str">
        <f>IF($A11="","",IFERROR(INDEX('Inventario General'!$C$5:$C$304,MATCH($A11,'Inventario General'!$A$5:$A$304,0))&amp;"","No está en el inventario"))</f>
        <v/>
      </c>
      <c r="C11" s="25" t="str">
        <f>IF($A11="","",IFERROR(INDEX('Inventario General'!$D$5:$D$304,MATCH($A11,'Inventario General'!$A$5:$A$304,0))&amp;"","No está en el inventario"))</f>
        <v/>
      </c>
      <c r="D11" s="25" t="str">
        <f>IF($A11="","",IFERROR(INDEX('Inventario General'!$I$5:$I$304,MATCH($A11,'Inventario General'!$A$5:$A$304,0))&amp;"","No está en el inventario"))</f>
        <v/>
      </c>
      <c r="E11" s="26"/>
      <c r="F11" s="29"/>
      <c r="G11" s="26"/>
      <c r="H11" s="26"/>
      <c r="I11" s="26"/>
      <c r="J11" s="26"/>
      <c r="K11" s="26"/>
      <c r="L11" s="26"/>
      <c r="M11" s="26"/>
      <c r="N11" s="26"/>
      <c r="O11" s="26"/>
      <c r="P11" s="44"/>
      <c r="Q11" s="26"/>
      <c r="R11" s="27"/>
      <c r="S11" s="26"/>
    </row>
    <row r="12" spans="1:19" x14ac:dyDescent="0.25">
      <c r="A12" s="26"/>
      <c r="B12" s="25" t="str">
        <f>IF($A12="","",IFERROR(INDEX('Inventario General'!$C$5:$C$304,MATCH($A12,'Inventario General'!$A$5:$A$304,0))&amp;"","No está en el inventario"))</f>
        <v/>
      </c>
      <c r="C12" s="25" t="str">
        <f>IF($A12="","",IFERROR(INDEX('Inventario General'!$D$5:$D$304,MATCH($A12,'Inventario General'!$A$5:$A$304,0))&amp;"","No está en el inventario"))</f>
        <v/>
      </c>
      <c r="D12" s="25" t="str">
        <f>IF($A12="","",IFERROR(INDEX('Inventario General'!$I$5:$I$304,MATCH($A12,'Inventario General'!$A$5:$A$304,0))&amp;"","No está en el inventario"))</f>
        <v/>
      </c>
      <c r="E12" s="26"/>
      <c r="F12" s="29"/>
      <c r="G12" s="26"/>
      <c r="H12" s="26"/>
      <c r="I12" s="26"/>
      <c r="J12" s="26"/>
      <c r="K12" s="26"/>
      <c r="L12" s="26"/>
      <c r="M12" s="26"/>
      <c r="N12" s="26"/>
      <c r="O12" s="26"/>
      <c r="P12" s="44"/>
      <c r="Q12" s="26"/>
      <c r="R12" s="27"/>
      <c r="S12" s="26"/>
    </row>
    <row r="13" spans="1:19" x14ac:dyDescent="0.25">
      <c r="A13" s="26"/>
      <c r="B13" s="25" t="str">
        <f>IF($A13="","",IFERROR(INDEX('Inventario General'!$C$5:$C$304,MATCH($A13,'Inventario General'!$A$5:$A$304,0))&amp;"","No está en el inventario"))</f>
        <v/>
      </c>
      <c r="C13" s="25" t="str">
        <f>IF($A13="","",IFERROR(INDEX('Inventario General'!$D$5:$D$304,MATCH($A13,'Inventario General'!$A$5:$A$304,0))&amp;"","No está en el inventario"))</f>
        <v/>
      </c>
      <c r="D13" s="25" t="str">
        <f>IF($A13="","",IFERROR(INDEX('Inventario General'!$I$5:$I$304,MATCH($A13,'Inventario General'!$A$5:$A$304,0))&amp;"","No está en el inventario"))</f>
        <v/>
      </c>
      <c r="E13" s="26"/>
      <c r="F13" s="29"/>
      <c r="G13" s="26"/>
      <c r="H13" s="26"/>
      <c r="I13" s="26"/>
      <c r="J13" s="26"/>
      <c r="K13" s="26"/>
      <c r="L13" s="26"/>
      <c r="M13" s="26"/>
      <c r="N13" s="26"/>
      <c r="O13" s="26"/>
      <c r="P13" s="44"/>
      <c r="Q13" s="26"/>
      <c r="R13" s="27"/>
      <c r="S13" s="26"/>
    </row>
    <row r="14" spans="1:19" x14ac:dyDescent="0.25">
      <c r="A14" s="26"/>
      <c r="B14" s="25" t="str">
        <f>IF($A14="","",IFERROR(INDEX('Inventario General'!$C$5:$C$304,MATCH($A14,'Inventario General'!$A$5:$A$304,0))&amp;"","No está en el inventario"))</f>
        <v/>
      </c>
      <c r="C14" s="25" t="str">
        <f>IF($A14="","",IFERROR(INDEX('Inventario General'!$D$5:$D$304,MATCH($A14,'Inventario General'!$A$5:$A$304,0))&amp;"","No está en el inventario"))</f>
        <v/>
      </c>
      <c r="D14" s="25" t="str">
        <f>IF($A14="","",IFERROR(INDEX('Inventario General'!$I$5:$I$304,MATCH($A14,'Inventario General'!$A$5:$A$304,0))&amp;"","No está en el inventario"))</f>
        <v/>
      </c>
      <c r="E14" s="26"/>
      <c r="F14" s="29"/>
      <c r="G14" s="26"/>
      <c r="H14" s="26"/>
      <c r="I14" s="26"/>
      <c r="J14" s="26"/>
      <c r="K14" s="26"/>
      <c r="L14" s="26"/>
      <c r="M14" s="26"/>
      <c r="N14" s="26"/>
      <c r="O14" s="26"/>
      <c r="P14" s="44"/>
      <c r="Q14" s="26"/>
      <c r="R14" s="27"/>
      <c r="S14" s="26"/>
    </row>
    <row r="15" spans="1:19" x14ac:dyDescent="0.25">
      <c r="A15" s="26"/>
      <c r="B15" s="25" t="str">
        <f>IF($A15="","",IFERROR(INDEX('Inventario General'!$C$5:$C$304,MATCH($A15,'Inventario General'!$A$5:$A$304,0))&amp;"","No está en el inventario"))</f>
        <v/>
      </c>
      <c r="C15" s="25" t="str">
        <f>IF($A15="","",IFERROR(INDEX('Inventario General'!$D$5:$D$304,MATCH($A15,'Inventario General'!$A$5:$A$304,0))&amp;"","No está en el inventario"))</f>
        <v/>
      </c>
      <c r="D15" s="25" t="str">
        <f>IF($A15="","",IFERROR(INDEX('Inventario General'!$I$5:$I$304,MATCH($A15,'Inventario General'!$A$5:$A$304,0))&amp;"","No está en el inventario"))</f>
        <v/>
      </c>
      <c r="E15" s="26"/>
      <c r="F15" s="29"/>
      <c r="G15" s="26"/>
      <c r="H15" s="26"/>
      <c r="I15" s="26"/>
      <c r="J15" s="26"/>
      <c r="K15" s="26"/>
      <c r="L15" s="26"/>
      <c r="M15" s="26"/>
      <c r="N15" s="26"/>
      <c r="O15" s="26"/>
      <c r="P15" s="44"/>
      <c r="Q15" s="26"/>
      <c r="R15" s="27"/>
      <c r="S15" s="26"/>
    </row>
    <row r="16" spans="1:19" x14ac:dyDescent="0.25">
      <c r="A16" s="26"/>
      <c r="B16" s="25" t="str">
        <f>IF($A16="","",IFERROR(INDEX('Inventario General'!$C$5:$C$304,MATCH($A16,'Inventario General'!$A$5:$A$304,0))&amp;"","No está en el inventario"))</f>
        <v/>
      </c>
      <c r="C16" s="25" t="str">
        <f>IF($A16="","",IFERROR(INDEX('Inventario General'!$D$5:$D$304,MATCH($A16,'Inventario General'!$A$5:$A$304,0))&amp;"","No está en el inventario"))</f>
        <v/>
      </c>
      <c r="D16" s="25" t="str">
        <f>IF($A16="","",IFERROR(INDEX('Inventario General'!$I$5:$I$304,MATCH($A16,'Inventario General'!$A$5:$A$304,0))&amp;"","No está en el inventario"))</f>
        <v/>
      </c>
      <c r="E16" s="26"/>
      <c r="F16" s="29"/>
      <c r="G16" s="26"/>
      <c r="H16" s="26"/>
      <c r="I16" s="26"/>
      <c r="J16" s="26"/>
      <c r="K16" s="26"/>
      <c r="L16" s="26"/>
      <c r="M16" s="26"/>
      <c r="N16" s="26"/>
      <c r="O16" s="26"/>
      <c r="P16" s="44"/>
      <c r="Q16" s="26"/>
      <c r="R16" s="27"/>
      <c r="S16" s="26"/>
    </row>
    <row r="17" spans="1:19" x14ac:dyDescent="0.25">
      <c r="A17" s="26"/>
      <c r="B17" s="25" t="str">
        <f>IF($A17="","",IFERROR(INDEX('Inventario General'!$C$5:$C$304,MATCH($A17,'Inventario General'!$A$5:$A$304,0))&amp;"","No está en el inventario"))</f>
        <v/>
      </c>
      <c r="C17" s="25" t="str">
        <f>IF($A17="","",IFERROR(INDEX('Inventario General'!$D$5:$D$304,MATCH($A17,'Inventario General'!$A$5:$A$304,0))&amp;"","No está en el inventario"))</f>
        <v/>
      </c>
      <c r="D17" s="25" t="str">
        <f>IF($A17="","",IFERROR(INDEX('Inventario General'!$I$5:$I$304,MATCH($A17,'Inventario General'!$A$5:$A$304,0))&amp;"","No está en el inventario"))</f>
        <v/>
      </c>
      <c r="E17" s="26"/>
      <c r="F17" s="29"/>
      <c r="G17" s="26"/>
      <c r="H17" s="26"/>
      <c r="I17" s="26"/>
      <c r="J17" s="26"/>
      <c r="K17" s="26"/>
      <c r="L17" s="26"/>
      <c r="M17" s="26"/>
      <c r="N17" s="26"/>
      <c r="O17" s="26"/>
      <c r="P17" s="44"/>
      <c r="Q17" s="26"/>
      <c r="R17" s="27"/>
      <c r="S17" s="26"/>
    </row>
    <row r="18" spans="1:19" x14ac:dyDescent="0.25">
      <c r="A18" s="26"/>
      <c r="B18" s="25" t="str">
        <f>IF($A18="","",IFERROR(INDEX('Inventario General'!$C$5:$C$304,MATCH($A18,'Inventario General'!$A$5:$A$304,0))&amp;"","No está en el inventario"))</f>
        <v/>
      </c>
      <c r="C18" s="25" t="str">
        <f>IF($A18="","",IFERROR(INDEX('Inventario General'!$D$5:$D$304,MATCH($A18,'Inventario General'!$A$5:$A$304,0))&amp;"","No está en el inventario"))</f>
        <v/>
      </c>
      <c r="D18" s="25" t="str">
        <f>IF($A18="","",IFERROR(INDEX('Inventario General'!$I$5:$I$304,MATCH($A18,'Inventario General'!$A$5:$A$304,0))&amp;"","No está en el inventario"))</f>
        <v/>
      </c>
      <c r="E18" s="26"/>
      <c r="F18" s="29"/>
      <c r="G18" s="26"/>
      <c r="H18" s="26"/>
      <c r="I18" s="26"/>
      <c r="J18" s="26"/>
      <c r="K18" s="26"/>
      <c r="L18" s="26"/>
      <c r="M18" s="26"/>
      <c r="N18" s="26"/>
      <c r="O18" s="26"/>
      <c r="P18" s="44"/>
      <c r="Q18" s="26"/>
      <c r="R18" s="27"/>
      <c r="S18" s="26"/>
    </row>
    <row r="19" spans="1:19" x14ac:dyDescent="0.25">
      <c r="A19" s="26"/>
      <c r="B19" s="25" t="str">
        <f>IF($A19="","",IFERROR(INDEX('Inventario General'!$C$5:$C$304,MATCH($A19,'Inventario General'!$A$5:$A$304,0))&amp;"","No está en el inventario"))</f>
        <v/>
      </c>
      <c r="C19" s="25" t="str">
        <f>IF($A19="","",IFERROR(INDEX('Inventario General'!$D$5:$D$304,MATCH($A19,'Inventario General'!$A$5:$A$304,0))&amp;"","No está en el inventario"))</f>
        <v/>
      </c>
      <c r="D19" s="25" t="str">
        <f>IF($A19="","",IFERROR(INDEX('Inventario General'!$I$5:$I$304,MATCH($A19,'Inventario General'!$A$5:$A$304,0))&amp;"","No está en el inventario"))</f>
        <v/>
      </c>
      <c r="E19" s="26"/>
      <c r="F19" s="29"/>
      <c r="G19" s="26"/>
      <c r="H19" s="26"/>
      <c r="I19" s="26"/>
      <c r="J19" s="26"/>
      <c r="K19" s="26"/>
      <c r="L19" s="26"/>
      <c r="M19" s="26"/>
      <c r="N19" s="26"/>
      <c r="O19" s="26"/>
      <c r="P19" s="44"/>
      <c r="Q19" s="26"/>
      <c r="R19" s="27"/>
      <c r="S19" s="26"/>
    </row>
    <row r="20" spans="1:19" x14ac:dyDescent="0.25">
      <c r="A20" s="26"/>
      <c r="B20" s="25" t="str">
        <f>IF($A20="","",IFERROR(INDEX('Inventario General'!$C$5:$C$304,MATCH($A20,'Inventario General'!$A$5:$A$304,0))&amp;"","No está en el inventario"))</f>
        <v/>
      </c>
      <c r="C20" s="25" t="str">
        <f>IF($A20="","",IFERROR(INDEX('Inventario General'!$D$5:$D$304,MATCH($A20,'Inventario General'!$A$5:$A$304,0))&amp;"","No está en el inventario"))</f>
        <v/>
      </c>
      <c r="D20" s="25" t="str">
        <f>IF($A20="","",IFERROR(INDEX('Inventario General'!$I$5:$I$304,MATCH($A20,'Inventario General'!$A$5:$A$304,0))&amp;"","No está en el inventario"))</f>
        <v/>
      </c>
      <c r="E20" s="26"/>
      <c r="F20" s="29"/>
      <c r="G20" s="26"/>
      <c r="H20" s="26"/>
      <c r="I20" s="26"/>
      <c r="J20" s="26"/>
      <c r="K20" s="26"/>
      <c r="L20" s="26"/>
      <c r="M20" s="26"/>
      <c r="N20" s="26"/>
      <c r="O20" s="26"/>
      <c r="P20" s="44"/>
      <c r="Q20" s="26"/>
      <c r="R20" s="27"/>
      <c r="S20" s="26"/>
    </row>
    <row r="21" spans="1:19" x14ac:dyDescent="0.25">
      <c r="A21" s="26"/>
      <c r="B21" s="25" t="str">
        <f>IF($A21="","",IFERROR(INDEX('Inventario General'!$C$5:$C$304,MATCH($A21,'Inventario General'!$A$5:$A$304,0))&amp;"","No está en el inventario"))</f>
        <v/>
      </c>
      <c r="C21" s="25" t="str">
        <f>IF($A21="","",IFERROR(INDEX('Inventario General'!$D$5:$D$304,MATCH($A21,'Inventario General'!$A$5:$A$304,0))&amp;"","No está en el inventario"))</f>
        <v/>
      </c>
      <c r="D21" s="25" t="str">
        <f>IF($A21="","",IFERROR(INDEX('Inventario General'!$I$5:$I$304,MATCH($A21,'Inventario General'!$A$5:$A$304,0))&amp;"","No está en el inventario"))</f>
        <v/>
      </c>
      <c r="E21" s="26"/>
      <c r="F21" s="29"/>
      <c r="G21" s="26"/>
      <c r="H21" s="26"/>
      <c r="I21" s="26"/>
      <c r="J21" s="26"/>
      <c r="K21" s="26"/>
      <c r="L21" s="26"/>
      <c r="M21" s="26"/>
      <c r="N21" s="26"/>
      <c r="O21" s="26"/>
      <c r="P21" s="44"/>
      <c r="Q21" s="26"/>
      <c r="R21" s="27"/>
      <c r="S21" s="26"/>
    </row>
    <row r="22" spans="1:19" x14ac:dyDescent="0.25">
      <c r="A22" s="26"/>
      <c r="B22" s="25" t="str">
        <f>IF($A22="","",IFERROR(INDEX('Inventario General'!$C$5:$C$304,MATCH($A22,'Inventario General'!$A$5:$A$304,0))&amp;"","No está en el inventario"))</f>
        <v/>
      </c>
      <c r="C22" s="25" t="str">
        <f>IF($A22="","",IFERROR(INDEX('Inventario General'!$D$5:$D$304,MATCH($A22,'Inventario General'!$A$5:$A$304,0))&amp;"","No está en el inventario"))</f>
        <v/>
      </c>
      <c r="D22" s="25" t="str">
        <f>IF($A22="","",IFERROR(INDEX('Inventario General'!$I$5:$I$304,MATCH($A22,'Inventario General'!$A$5:$A$304,0))&amp;"","No está en el inventario"))</f>
        <v/>
      </c>
      <c r="E22" s="26"/>
      <c r="F22" s="29"/>
      <c r="G22" s="26"/>
      <c r="H22" s="26"/>
      <c r="I22" s="26"/>
      <c r="J22" s="26"/>
      <c r="K22" s="26"/>
      <c r="L22" s="26"/>
      <c r="M22" s="26"/>
      <c r="N22" s="26"/>
      <c r="O22" s="26"/>
      <c r="P22" s="44"/>
      <c r="Q22" s="26"/>
      <c r="R22" s="27"/>
      <c r="S22" s="26"/>
    </row>
    <row r="23" spans="1:19" x14ac:dyDescent="0.25">
      <c r="A23" s="26"/>
      <c r="B23" s="25" t="str">
        <f>IF($A23="","",IFERROR(INDEX('Inventario General'!$C$5:$C$304,MATCH($A23,'Inventario General'!$A$5:$A$304,0))&amp;"","No está en el inventario"))</f>
        <v/>
      </c>
      <c r="C23" s="25" t="str">
        <f>IF($A23="","",IFERROR(INDEX('Inventario General'!$D$5:$D$304,MATCH($A23,'Inventario General'!$A$5:$A$304,0))&amp;"","No está en el inventario"))</f>
        <v/>
      </c>
      <c r="D23" s="25" t="str">
        <f>IF($A23="","",IFERROR(INDEX('Inventario General'!$I$5:$I$304,MATCH($A23,'Inventario General'!$A$5:$A$304,0))&amp;"","No está en el inventario"))</f>
        <v/>
      </c>
      <c r="E23" s="26"/>
      <c r="F23" s="29"/>
      <c r="G23" s="26"/>
      <c r="H23" s="26"/>
      <c r="I23" s="26"/>
      <c r="J23" s="26"/>
      <c r="K23" s="26"/>
      <c r="L23" s="26"/>
      <c r="M23" s="26"/>
      <c r="N23" s="26"/>
      <c r="O23" s="26"/>
      <c r="P23" s="44"/>
      <c r="Q23" s="26"/>
      <c r="R23" s="27"/>
      <c r="S23" s="26"/>
    </row>
    <row r="24" spans="1:19" x14ac:dyDescent="0.25">
      <c r="A24" s="26"/>
      <c r="B24" s="25" t="str">
        <f>IF($A24="","",IFERROR(INDEX('Inventario General'!$C$5:$C$304,MATCH($A24,'Inventario General'!$A$5:$A$304,0))&amp;"","No está en el inventario"))</f>
        <v/>
      </c>
      <c r="C24" s="25" t="str">
        <f>IF($A24="","",IFERROR(INDEX('Inventario General'!$D$5:$D$304,MATCH($A24,'Inventario General'!$A$5:$A$304,0))&amp;"","No está en el inventario"))</f>
        <v/>
      </c>
      <c r="D24" s="25" t="str">
        <f>IF($A24="","",IFERROR(INDEX('Inventario General'!$I$5:$I$304,MATCH($A24,'Inventario General'!$A$5:$A$304,0))&amp;"","No está en el inventario"))</f>
        <v/>
      </c>
      <c r="E24" s="26"/>
      <c r="F24" s="29"/>
      <c r="G24" s="26"/>
      <c r="H24" s="26"/>
      <c r="I24" s="26"/>
      <c r="J24" s="26"/>
      <c r="K24" s="26"/>
      <c r="L24" s="26"/>
      <c r="M24" s="26"/>
      <c r="N24" s="26"/>
      <c r="O24" s="26"/>
      <c r="P24" s="44"/>
      <c r="Q24" s="26"/>
      <c r="R24" s="27"/>
      <c r="S24" s="26"/>
    </row>
    <row r="25" spans="1:19" x14ac:dyDescent="0.25">
      <c r="A25" s="26"/>
      <c r="B25" s="25" t="str">
        <f>IF($A25="","",IFERROR(INDEX('Inventario General'!$C$5:$C$304,MATCH($A25,'Inventario General'!$A$5:$A$304,0))&amp;"","No está en el inventario"))</f>
        <v/>
      </c>
      <c r="C25" s="25" t="str">
        <f>IF($A25="","",IFERROR(INDEX('Inventario General'!$D$5:$D$304,MATCH($A25,'Inventario General'!$A$5:$A$304,0))&amp;"","No está en el inventario"))</f>
        <v/>
      </c>
      <c r="D25" s="25" t="str">
        <f>IF($A25="","",IFERROR(INDEX('Inventario General'!$I$5:$I$304,MATCH($A25,'Inventario General'!$A$5:$A$304,0))&amp;"","No está en el inventario"))</f>
        <v/>
      </c>
      <c r="E25" s="26"/>
      <c r="F25" s="29"/>
      <c r="G25" s="26"/>
      <c r="H25" s="26"/>
      <c r="I25" s="26"/>
      <c r="J25" s="26"/>
      <c r="K25" s="26"/>
      <c r="L25" s="26"/>
      <c r="M25" s="26"/>
      <c r="N25" s="26"/>
      <c r="O25" s="26"/>
      <c r="P25" s="44"/>
      <c r="Q25" s="26"/>
      <c r="R25" s="27"/>
      <c r="S25" s="26"/>
    </row>
    <row r="26" spans="1:19" x14ac:dyDescent="0.25">
      <c r="A26" s="26"/>
      <c r="B26" s="25" t="str">
        <f>IF($A26="","",IFERROR(INDEX('Inventario General'!$C$5:$C$304,MATCH($A26,'Inventario General'!$A$5:$A$304,0))&amp;"","No está en el inventario"))</f>
        <v/>
      </c>
      <c r="C26" s="25" t="str">
        <f>IF($A26="","",IFERROR(INDEX('Inventario General'!$D$5:$D$304,MATCH($A26,'Inventario General'!$A$5:$A$304,0))&amp;"","No está en el inventario"))</f>
        <v/>
      </c>
      <c r="D26" s="25" t="str">
        <f>IF($A26="","",IFERROR(INDEX('Inventario General'!$I$5:$I$304,MATCH($A26,'Inventario General'!$A$5:$A$304,0))&amp;"","No está en el inventario"))</f>
        <v/>
      </c>
      <c r="E26" s="26"/>
      <c r="F26" s="29"/>
      <c r="G26" s="26"/>
      <c r="H26" s="26"/>
      <c r="I26" s="26"/>
      <c r="J26" s="26"/>
      <c r="K26" s="26"/>
      <c r="L26" s="26"/>
      <c r="M26" s="26"/>
      <c r="N26" s="26"/>
      <c r="O26" s="26"/>
      <c r="P26" s="44"/>
      <c r="Q26" s="26"/>
      <c r="R26" s="27"/>
      <c r="S26" s="26"/>
    </row>
    <row r="27" spans="1:19" x14ac:dyDescent="0.25">
      <c r="A27" s="26"/>
      <c r="B27" s="25" t="str">
        <f>IF($A27="","",IFERROR(INDEX('Inventario General'!$C$5:$C$304,MATCH($A27,'Inventario General'!$A$5:$A$304,0))&amp;"","No está en el inventario"))</f>
        <v/>
      </c>
      <c r="C27" s="25" t="str">
        <f>IF($A27="","",IFERROR(INDEX('Inventario General'!$D$5:$D$304,MATCH($A27,'Inventario General'!$A$5:$A$304,0))&amp;"","No está en el inventario"))</f>
        <v/>
      </c>
      <c r="D27" s="25" t="str">
        <f>IF($A27="","",IFERROR(INDEX('Inventario General'!$I$5:$I$304,MATCH($A27,'Inventario General'!$A$5:$A$304,0))&amp;"","No está en el inventario"))</f>
        <v/>
      </c>
      <c r="E27" s="26"/>
      <c r="F27" s="29"/>
      <c r="G27" s="26"/>
      <c r="H27" s="26"/>
      <c r="I27" s="26"/>
      <c r="J27" s="26"/>
      <c r="K27" s="26"/>
      <c r="L27" s="26"/>
      <c r="M27" s="26"/>
      <c r="N27" s="26"/>
      <c r="O27" s="26"/>
      <c r="P27" s="44"/>
      <c r="Q27" s="26"/>
      <c r="R27" s="27"/>
      <c r="S27" s="26"/>
    </row>
    <row r="28" spans="1:19" x14ac:dyDescent="0.25">
      <c r="A28" s="26"/>
      <c r="B28" s="25" t="str">
        <f>IF($A28="","",IFERROR(INDEX('Inventario General'!$C$5:$C$304,MATCH($A28,'Inventario General'!$A$5:$A$304,0))&amp;"","No está en el inventario"))</f>
        <v/>
      </c>
      <c r="C28" s="25" t="str">
        <f>IF($A28="","",IFERROR(INDEX('Inventario General'!$D$5:$D$304,MATCH($A28,'Inventario General'!$A$5:$A$304,0))&amp;"","No está en el inventario"))</f>
        <v/>
      </c>
      <c r="D28" s="25" t="str">
        <f>IF($A28="","",IFERROR(INDEX('Inventario General'!$I$5:$I$304,MATCH($A28,'Inventario General'!$A$5:$A$304,0))&amp;"","No está en el inventario"))</f>
        <v/>
      </c>
      <c r="E28" s="26"/>
      <c r="F28" s="29"/>
      <c r="G28" s="26"/>
      <c r="H28" s="26"/>
      <c r="I28" s="26"/>
      <c r="J28" s="26"/>
      <c r="K28" s="26"/>
      <c r="L28" s="26"/>
      <c r="M28" s="26"/>
      <c r="N28" s="26"/>
      <c r="O28" s="26"/>
      <c r="P28" s="44"/>
      <c r="Q28" s="26"/>
      <c r="R28" s="27"/>
      <c r="S28" s="26"/>
    </row>
    <row r="29" spans="1:19" x14ac:dyDescent="0.25">
      <c r="A29" s="26"/>
      <c r="B29" s="25" t="str">
        <f>IF($A29="","",IFERROR(INDEX('Inventario General'!$C$5:$C$304,MATCH($A29,'Inventario General'!$A$5:$A$304,0))&amp;"","No está en el inventario"))</f>
        <v/>
      </c>
      <c r="C29" s="25" t="str">
        <f>IF($A29="","",IFERROR(INDEX('Inventario General'!$D$5:$D$304,MATCH($A29,'Inventario General'!$A$5:$A$304,0))&amp;"","No está en el inventario"))</f>
        <v/>
      </c>
      <c r="D29" s="25" t="str">
        <f>IF($A29="","",IFERROR(INDEX('Inventario General'!$I$5:$I$304,MATCH($A29,'Inventario General'!$A$5:$A$304,0))&amp;"","No está en el inventario"))</f>
        <v/>
      </c>
      <c r="E29" s="26"/>
      <c r="F29" s="29"/>
      <c r="G29" s="26"/>
      <c r="H29" s="26"/>
      <c r="I29" s="26"/>
      <c r="J29" s="26"/>
      <c r="K29" s="26"/>
      <c r="L29" s="26"/>
      <c r="M29" s="26"/>
      <c r="N29" s="26"/>
      <c r="O29" s="26"/>
      <c r="P29" s="44"/>
      <c r="Q29" s="26"/>
      <c r="R29" s="27"/>
      <c r="S29" s="26"/>
    </row>
    <row r="30" spans="1:19" x14ac:dyDescent="0.25">
      <c r="A30" s="26"/>
      <c r="B30" s="25" t="str">
        <f>IF($A30="","",IFERROR(INDEX('Inventario General'!$C$5:$C$304,MATCH($A30,'Inventario General'!$A$5:$A$304,0))&amp;"","No está en el inventario"))</f>
        <v/>
      </c>
      <c r="C30" s="25" t="str">
        <f>IF($A30="","",IFERROR(INDEX('Inventario General'!$D$5:$D$304,MATCH($A30,'Inventario General'!$A$5:$A$304,0))&amp;"","No está en el inventario"))</f>
        <v/>
      </c>
      <c r="D30" s="25" t="str">
        <f>IF($A30="","",IFERROR(INDEX('Inventario General'!$I$5:$I$304,MATCH($A30,'Inventario General'!$A$5:$A$304,0))&amp;"","No está en el inventario"))</f>
        <v/>
      </c>
      <c r="E30" s="26"/>
      <c r="F30" s="29"/>
      <c r="G30" s="26"/>
      <c r="H30" s="26"/>
      <c r="I30" s="26"/>
      <c r="J30" s="26"/>
      <c r="K30" s="26"/>
      <c r="L30" s="26"/>
      <c r="M30" s="26"/>
      <c r="N30" s="26"/>
      <c r="O30" s="26"/>
      <c r="P30" s="44"/>
      <c r="Q30" s="26"/>
      <c r="R30" s="27"/>
      <c r="S30" s="26"/>
    </row>
    <row r="31" spans="1:19" x14ac:dyDescent="0.25">
      <c r="A31" s="26"/>
      <c r="B31" s="25" t="str">
        <f>IF($A31="","",IFERROR(INDEX('Inventario General'!$C$5:$C$304,MATCH($A31,'Inventario General'!$A$5:$A$304,0))&amp;"","No está en el inventario"))</f>
        <v/>
      </c>
      <c r="C31" s="25" t="str">
        <f>IF($A31="","",IFERROR(INDEX('Inventario General'!$D$5:$D$304,MATCH($A31,'Inventario General'!$A$5:$A$304,0))&amp;"","No está en el inventario"))</f>
        <v/>
      </c>
      <c r="D31" s="25" t="str">
        <f>IF($A31="","",IFERROR(INDEX('Inventario General'!$I$5:$I$304,MATCH($A31,'Inventario General'!$A$5:$A$304,0))&amp;"","No está en el inventario"))</f>
        <v/>
      </c>
      <c r="E31" s="26"/>
      <c r="F31" s="29"/>
      <c r="G31" s="26"/>
      <c r="H31" s="26"/>
      <c r="I31" s="26"/>
      <c r="J31" s="26"/>
      <c r="K31" s="26"/>
      <c r="L31" s="26"/>
      <c r="M31" s="26"/>
      <c r="N31" s="26"/>
      <c r="O31" s="26"/>
      <c r="P31" s="44"/>
      <c r="Q31" s="26"/>
      <c r="R31" s="27"/>
      <c r="S31" s="26"/>
    </row>
    <row r="32" spans="1:19" x14ac:dyDescent="0.25">
      <c r="A32" s="26"/>
      <c r="B32" s="25" t="str">
        <f>IF($A32="","",IFERROR(INDEX('Inventario General'!$C$5:$C$304,MATCH($A32,'Inventario General'!$A$5:$A$304,0))&amp;"","No está en el inventario"))</f>
        <v/>
      </c>
      <c r="C32" s="25" t="str">
        <f>IF($A32="","",IFERROR(INDEX('Inventario General'!$D$5:$D$304,MATCH($A32,'Inventario General'!$A$5:$A$304,0))&amp;"","No está en el inventario"))</f>
        <v/>
      </c>
      <c r="D32" s="25" t="str">
        <f>IF($A32="","",IFERROR(INDEX('Inventario General'!$I$5:$I$304,MATCH($A32,'Inventario General'!$A$5:$A$304,0))&amp;"","No está en el inventario"))</f>
        <v/>
      </c>
      <c r="E32" s="26"/>
      <c r="F32" s="29"/>
      <c r="G32" s="26"/>
      <c r="H32" s="26"/>
      <c r="I32" s="26"/>
      <c r="J32" s="26"/>
      <c r="K32" s="26"/>
      <c r="L32" s="26"/>
      <c r="M32" s="26"/>
      <c r="N32" s="26"/>
      <c r="O32" s="26"/>
      <c r="P32" s="44"/>
      <c r="Q32" s="26"/>
      <c r="R32" s="27"/>
      <c r="S32" s="26"/>
    </row>
    <row r="33" spans="1:19" x14ac:dyDescent="0.25">
      <c r="A33" s="26"/>
      <c r="B33" s="25" t="str">
        <f>IF($A33="","",IFERROR(INDEX('Inventario General'!$C$5:$C$304,MATCH($A33,'Inventario General'!$A$5:$A$304,0))&amp;"","No está en el inventario"))</f>
        <v/>
      </c>
      <c r="C33" s="25" t="str">
        <f>IF($A33="","",IFERROR(INDEX('Inventario General'!$D$5:$D$304,MATCH($A33,'Inventario General'!$A$5:$A$304,0))&amp;"","No está en el inventario"))</f>
        <v/>
      </c>
      <c r="D33" s="25" t="str">
        <f>IF($A33="","",IFERROR(INDEX('Inventario General'!$I$5:$I$304,MATCH($A33,'Inventario General'!$A$5:$A$304,0))&amp;"","No está en el inventario"))</f>
        <v/>
      </c>
      <c r="E33" s="26"/>
      <c r="F33" s="29"/>
      <c r="G33" s="26"/>
      <c r="H33" s="26"/>
      <c r="I33" s="26"/>
      <c r="J33" s="26"/>
      <c r="K33" s="26"/>
      <c r="L33" s="26"/>
      <c r="M33" s="26"/>
      <c r="N33" s="26"/>
      <c r="O33" s="26"/>
      <c r="P33" s="44"/>
      <c r="Q33" s="26"/>
      <c r="R33" s="27"/>
      <c r="S33" s="26"/>
    </row>
    <row r="34" spans="1:19" x14ac:dyDescent="0.25">
      <c r="A34" s="26"/>
      <c r="B34" s="25" t="str">
        <f>IF($A34="","",IFERROR(INDEX('Inventario General'!$C$5:$C$304,MATCH($A34,'Inventario General'!$A$5:$A$304,0))&amp;"","No está en el inventario"))</f>
        <v/>
      </c>
      <c r="C34" s="25" t="str">
        <f>IF($A34="","",IFERROR(INDEX('Inventario General'!$D$5:$D$304,MATCH($A34,'Inventario General'!$A$5:$A$304,0))&amp;"","No está en el inventario"))</f>
        <v/>
      </c>
      <c r="D34" s="25" t="str">
        <f>IF($A34="","",IFERROR(INDEX('Inventario General'!$I$5:$I$304,MATCH($A34,'Inventario General'!$A$5:$A$304,0))&amp;"","No está en el inventario"))</f>
        <v/>
      </c>
      <c r="E34" s="26"/>
      <c r="F34" s="29"/>
      <c r="G34" s="26"/>
      <c r="H34" s="26"/>
      <c r="I34" s="26"/>
      <c r="J34" s="26"/>
      <c r="K34" s="26"/>
      <c r="L34" s="26"/>
      <c r="M34" s="26"/>
      <c r="N34" s="26"/>
      <c r="O34" s="26"/>
      <c r="P34" s="44"/>
      <c r="Q34" s="26"/>
      <c r="R34" s="27"/>
      <c r="S34" s="26"/>
    </row>
    <row r="35" spans="1:19" x14ac:dyDescent="0.25">
      <c r="A35" s="26"/>
      <c r="B35" s="25" t="str">
        <f>IF($A35="","",IFERROR(INDEX('Inventario General'!$C$5:$C$304,MATCH($A35,'Inventario General'!$A$5:$A$304,0))&amp;"","No está en el inventario"))</f>
        <v/>
      </c>
      <c r="C35" s="25" t="str">
        <f>IF($A35="","",IFERROR(INDEX('Inventario General'!$D$5:$D$304,MATCH($A35,'Inventario General'!$A$5:$A$304,0))&amp;"","No está en el inventario"))</f>
        <v/>
      </c>
      <c r="D35" s="25" t="str">
        <f>IF($A35="","",IFERROR(INDEX('Inventario General'!$I$5:$I$304,MATCH($A35,'Inventario General'!$A$5:$A$304,0))&amp;"","No está en el inventario"))</f>
        <v/>
      </c>
      <c r="E35" s="26"/>
      <c r="F35" s="29"/>
      <c r="G35" s="26"/>
      <c r="H35" s="26"/>
      <c r="I35" s="26"/>
      <c r="J35" s="26"/>
      <c r="K35" s="26"/>
      <c r="L35" s="26"/>
      <c r="M35" s="26"/>
      <c r="N35" s="26"/>
      <c r="O35" s="26"/>
      <c r="P35" s="44"/>
      <c r="Q35" s="26"/>
      <c r="R35" s="27"/>
      <c r="S35" s="26"/>
    </row>
    <row r="36" spans="1:19" x14ac:dyDescent="0.25">
      <c r="A36" s="26"/>
      <c r="B36" s="25" t="str">
        <f>IF($A36="","",IFERROR(INDEX('Inventario General'!$C$5:$C$304,MATCH($A36,'Inventario General'!$A$5:$A$304,0))&amp;"","No está en el inventario"))</f>
        <v/>
      </c>
      <c r="C36" s="25" t="str">
        <f>IF($A36="","",IFERROR(INDEX('Inventario General'!$D$5:$D$304,MATCH($A36,'Inventario General'!$A$5:$A$304,0))&amp;"","No está en el inventario"))</f>
        <v/>
      </c>
      <c r="D36" s="25" t="str">
        <f>IF($A36="","",IFERROR(INDEX('Inventario General'!$I$5:$I$304,MATCH($A36,'Inventario General'!$A$5:$A$304,0))&amp;"","No está en el inventario"))</f>
        <v/>
      </c>
      <c r="E36" s="26"/>
      <c r="F36" s="29"/>
      <c r="G36" s="26"/>
      <c r="H36" s="26"/>
      <c r="I36" s="26"/>
      <c r="J36" s="26"/>
      <c r="K36" s="26"/>
      <c r="L36" s="26"/>
      <c r="M36" s="26"/>
      <c r="N36" s="26"/>
      <c r="O36" s="26"/>
      <c r="P36" s="44"/>
      <c r="Q36" s="26"/>
      <c r="R36" s="27"/>
      <c r="S36" s="26"/>
    </row>
    <row r="37" spans="1:19" x14ac:dyDescent="0.25">
      <c r="A37" s="26"/>
      <c r="B37" s="25" t="str">
        <f>IF($A37="","",IFERROR(INDEX('Inventario General'!$C$5:$C$304,MATCH($A37,'Inventario General'!$A$5:$A$304,0))&amp;"","No está en el inventario"))</f>
        <v/>
      </c>
      <c r="C37" s="25" t="str">
        <f>IF($A37="","",IFERROR(INDEX('Inventario General'!$D$5:$D$304,MATCH($A37,'Inventario General'!$A$5:$A$304,0))&amp;"","No está en el inventario"))</f>
        <v/>
      </c>
      <c r="D37" s="25" t="str">
        <f>IF($A37="","",IFERROR(INDEX('Inventario General'!$I$5:$I$304,MATCH($A37,'Inventario General'!$A$5:$A$304,0))&amp;"","No está en el inventario"))</f>
        <v/>
      </c>
      <c r="E37" s="26"/>
      <c r="F37" s="29"/>
      <c r="G37" s="26"/>
      <c r="H37" s="26"/>
      <c r="I37" s="26"/>
      <c r="J37" s="26"/>
      <c r="K37" s="26"/>
      <c r="L37" s="26"/>
      <c r="M37" s="26"/>
      <c r="N37" s="26"/>
      <c r="O37" s="26"/>
      <c r="P37" s="44"/>
      <c r="Q37" s="26"/>
      <c r="R37" s="27"/>
      <c r="S37" s="26"/>
    </row>
    <row r="38" spans="1:19" x14ac:dyDescent="0.25">
      <c r="A38" s="26"/>
      <c r="B38" s="25" t="str">
        <f>IF($A38="","",IFERROR(INDEX('Inventario General'!$C$5:$C$304,MATCH($A38,'Inventario General'!$A$5:$A$304,0))&amp;"","No está en el inventario"))</f>
        <v/>
      </c>
      <c r="C38" s="25" t="str">
        <f>IF($A38="","",IFERROR(INDEX('Inventario General'!$D$5:$D$304,MATCH($A38,'Inventario General'!$A$5:$A$304,0))&amp;"","No está en el inventario"))</f>
        <v/>
      </c>
      <c r="D38" s="25" t="str">
        <f>IF($A38="","",IFERROR(INDEX('Inventario General'!$I$5:$I$304,MATCH($A38,'Inventario General'!$A$5:$A$304,0))&amp;"","No está en el inventario"))</f>
        <v/>
      </c>
      <c r="E38" s="26"/>
      <c r="F38" s="29"/>
      <c r="G38" s="26"/>
      <c r="H38" s="26"/>
      <c r="I38" s="26"/>
      <c r="J38" s="26"/>
      <c r="K38" s="26"/>
      <c r="L38" s="26"/>
      <c r="M38" s="26"/>
      <c r="N38" s="26"/>
      <c r="O38" s="26"/>
      <c r="P38" s="44"/>
      <c r="Q38" s="26"/>
      <c r="R38" s="27"/>
      <c r="S38" s="26"/>
    </row>
    <row r="39" spans="1:19" x14ac:dyDescent="0.25">
      <c r="A39" s="26"/>
      <c r="B39" s="25" t="str">
        <f>IF($A39="","",IFERROR(INDEX('Inventario General'!$C$5:$C$304,MATCH($A39,'Inventario General'!$A$5:$A$304,0))&amp;"","No está en el inventario"))</f>
        <v/>
      </c>
      <c r="C39" s="25" t="str">
        <f>IF($A39="","",IFERROR(INDEX('Inventario General'!$D$5:$D$304,MATCH($A39,'Inventario General'!$A$5:$A$304,0))&amp;"","No está en el inventario"))</f>
        <v/>
      </c>
      <c r="D39" s="25" t="str">
        <f>IF($A39="","",IFERROR(INDEX('Inventario General'!$I$5:$I$304,MATCH($A39,'Inventario General'!$A$5:$A$304,0))&amp;"","No está en el inventario"))</f>
        <v/>
      </c>
      <c r="E39" s="26"/>
      <c r="F39" s="29"/>
      <c r="G39" s="26"/>
      <c r="H39" s="26"/>
      <c r="I39" s="26"/>
      <c r="J39" s="26"/>
      <c r="K39" s="26"/>
      <c r="L39" s="26"/>
      <c r="M39" s="26"/>
      <c r="N39" s="26"/>
      <c r="O39" s="26"/>
      <c r="P39" s="44"/>
      <c r="Q39" s="26"/>
      <c r="R39" s="27"/>
      <c r="S39" s="26"/>
    </row>
    <row r="40" spans="1:19" x14ac:dyDescent="0.25">
      <c r="A40" s="26"/>
      <c r="B40" s="25" t="str">
        <f>IF($A40="","",IFERROR(INDEX('Inventario General'!$C$5:$C$304,MATCH($A40,'Inventario General'!$A$5:$A$304,0))&amp;"","No está en el inventario"))</f>
        <v/>
      </c>
      <c r="C40" s="25" t="str">
        <f>IF($A40="","",IFERROR(INDEX('Inventario General'!$D$5:$D$304,MATCH($A40,'Inventario General'!$A$5:$A$304,0))&amp;"","No está en el inventario"))</f>
        <v/>
      </c>
      <c r="D40" s="25" t="str">
        <f>IF($A40="","",IFERROR(INDEX('Inventario General'!$I$5:$I$304,MATCH($A40,'Inventario General'!$A$5:$A$304,0))&amp;"","No está en el inventario"))</f>
        <v/>
      </c>
      <c r="E40" s="26"/>
      <c r="F40" s="29"/>
      <c r="G40" s="26"/>
      <c r="H40" s="26"/>
      <c r="I40" s="26"/>
      <c r="J40" s="26"/>
      <c r="K40" s="26"/>
      <c r="L40" s="26"/>
      <c r="M40" s="26"/>
      <c r="N40" s="26"/>
      <c r="O40" s="26"/>
      <c r="P40" s="44"/>
      <c r="Q40" s="26"/>
      <c r="R40" s="27"/>
      <c r="S40" s="26"/>
    </row>
    <row r="41" spans="1:19" x14ac:dyDescent="0.25">
      <c r="A41" s="26"/>
      <c r="B41" s="25" t="str">
        <f>IF($A41="","",IFERROR(INDEX('Inventario General'!$C$5:$C$304,MATCH($A41,'Inventario General'!$A$5:$A$304,0))&amp;"","No está en el inventario"))</f>
        <v/>
      </c>
      <c r="C41" s="25" t="str">
        <f>IF($A41="","",IFERROR(INDEX('Inventario General'!$D$5:$D$304,MATCH($A41,'Inventario General'!$A$5:$A$304,0))&amp;"","No está en el inventario"))</f>
        <v/>
      </c>
      <c r="D41" s="25" t="str">
        <f>IF($A41="","",IFERROR(INDEX('Inventario General'!$I$5:$I$304,MATCH($A41,'Inventario General'!$A$5:$A$304,0))&amp;"","No está en el inventario"))</f>
        <v/>
      </c>
      <c r="E41" s="26"/>
      <c r="F41" s="29"/>
      <c r="G41" s="26"/>
      <c r="H41" s="26"/>
      <c r="I41" s="26"/>
      <c r="J41" s="26"/>
      <c r="K41" s="26"/>
      <c r="L41" s="26"/>
      <c r="M41" s="26"/>
      <c r="N41" s="26"/>
      <c r="O41" s="26"/>
      <c r="P41" s="44"/>
      <c r="Q41" s="26"/>
      <c r="R41" s="27"/>
      <c r="S41" s="26"/>
    </row>
    <row r="42" spans="1:19" x14ac:dyDescent="0.25">
      <c r="A42" s="26"/>
      <c r="B42" s="25" t="str">
        <f>IF($A42="","",IFERROR(INDEX('Inventario General'!$C$5:$C$304,MATCH($A42,'Inventario General'!$A$5:$A$304,0))&amp;"","No está en el inventario"))</f>
        <v/>
      </c>
      <c r="C42" s="25" t="str">
        <f>IF($A42="","",IFERROR(INDEX('Inventario General'!$D$5:$D$304,MATCH($A42,'Inventario General'!$A$5:$A$304,0))&amp;"","No está en el inventario"))</f>
        <v/>
      </c>
      <c r="D42" s="25" t="str">
        <f>IF($A42="","",IFERROR(INDEX('Inventario General'!$I$5:$I$304,MATCH($A42,'Inventario General'!$A$5:$A$304,0))&amp;"","No está en el inventario"))</f>
        <v/>
      </c>
      <c r="E42" s="26"/>
      <c r="F42" s="29"/>
      <c r="G42" s="26"/>
      <c r="H42" s="26"/>
      <c r="I42" s="26"/>
      <c r="J42" s="26"/>
      <c r="K42" s="26"/>
      <c r="L42" s="26"/>
      <c r="M42" s="26"/>
      <c r="N42" s="26"/>
      <c r="O42" s="26"/>
      <c r="P42" s="44"/>
      <c r="Q42" s="26"/>
      <c r="R42" s="27"/>
      <c r="S42" s="26"/>
    </row>
    <row r="43" spans="1:19" x14ac:dyDescent="0.25">
      <c r="A43" s="26"/>
      <c r="B43" s="25" t="str">
        <f>IF($A43="","",IFERROR(INDEX('Inventario General'!$C$5:$C$304,MATCH($A43,'Inventario General'!$A$5:$A$304,0))&amp;"","No está en el inventario"))</f>
        <v/>
      </c>
      <c r="C43" s="25" t="str">
        <f>IF($A43="","",IFERROR(INDEX('Inventario General'!$D$5:$D$304,MATCH($A43,'Inventario General'!$A$5:$A$304,0))&amp;"","No está en el inventario"))</f>
        <v/>
      </c>
      <c r="D43" s="25" t="str">
        <f>IF($A43="","",IFERROR(INDEX('Inventario General'!$I$5:$I$304,MATCH($A43,'Inventario General'!$A$5:$A$304,0))&amp;"","No está en el inventario"))</f>
        <v/>
      </c>
      <c r="E43" s="26"/>
      <c r="F43" s="29"/>
      <c r="G43" s="26"/>
      <c r="H43" s="26"/>
      <c r="I43" s="26"/>
      <c r="J43" s="26"/>
      <c r="K43" s="26"/>
      <c r="L43" s="26"/>
      <c r="M43" s="26"/>
      <c r="N43" s="26"/>
      <c r="O43" s="26"/>
      <c r="P43" s="44"/>
      <c r="Q43" s="26"/>
      <c r="R43" s="27"/>
      <c r="S43" s="26"/>
    </row>
    <row r="44" spans="1:19" x14ac:dyDescent="0.25">
      <c r="A44" s="26"/>
      <c r="B44" s="25" t="str">
        <f>IF($A44="","",IFERROR(INDEX('Inventario General'!$C$5:$C$304,MATCH($A44,'Inventario General'!$A$5:$A$304,0))&amp;"","No está en el inventario"))</f>
        <v/>
      </c>
      <c r="C44" s="25" t="str">
        <f>IF($A44="","",IFERROR(INDEX('Inventario General'!$D$5:$D$304,MATCH($A44,'Inventario General'!$A$5:$A$304,0))&amp;"","No está en el inventario"))</f>
        <v/>
      </c>
      <c r="D44" s="25" t="str">
        <f>IF($A44="","",IFERROR(INDEX('Inventario General'!$I$5:$I$304,MATCH($A44,'Inventario General'!$A$5:$A$304,0))&amp;"","No está en el inventario"))</f>
        <v/>
      </c>
      <c r="E44" s="26"/>
      <c r="F44" s="29"/>
      <c r="G44" s="26"/>
      <c r="H44" s="26"/>
      <c r="I44" s="26"/>
      <c r="J44" s="26"/>
      <c r="K44" s="26"/>
      <c r="L44" s="26"/>
      <c r="M44" s="26"/>
      <c r="N44" s="26"/>
      <c r="O44" s="26"/>
      <c r="P44" s="44"/>
      <c r="Q44" s="26"/>
      <c r="R44" s="27"/>
      <c r="S44" s="26"/>
    </row>
    <row r="45" spans="1:19" x14ac:dyDescent="0.25">
      <c r="A45" s="26"/>
      <c r="B45" s="25" t="str">
        <f>IF($A45="","",IFERROR(INDEX('Inventario General'!$C$5:$C$304,MATCH($A45,'Inventario General'!$A$5:$A$304,0))&amp;"","No está en el inventario"))</f>
        <v/>
      </c>
      <c r="C45" s="25" t="str">
        <f>IF($A45="","",IFERROR(INDEX('Inventario General'!$D$5:$D$304,MATCH($A45,'Inventario General'!$A$5:$A$304,0))&amp;"","No está en el inventario"))</f>
        <v/>
      </c>
      <c r="D45" s="25" t="str">
        <f>IF($A45="","",IFERROR(INDEX('Inventario General'!$I$5:$I$304,MATCH($A45,'Inventario General'!$A$5:$A$304,0))&amp;"","No está en el inventario"))</f>
        <v/>
      </c>
      <c r="E45" s="26"/>
      <c r="F45" s="29"/>
      <c r="G45" s="26"/>
      <c r="H45" s="26"/>
      <c r="I45" s="26"/>
      <c r="J45" s="26"/>
      <c r="K45" s="26"/>
      <c r="L45" s="26"/>
      <c r="M45" s="26"/>
      <c r="N45" s="26"/>
      <c r="O45" s="26"/>
      <c r="P45" s="44"/>
      <c r="Q45" s="26"/>
      <c r="R45" s="27"/>
      <c r="S45" s="26"/>
    </row>
    <row r="46" spans="1:19" x14ac:dyDescent="0.25">
      <c r="A46" s="26"/>
      <c r="B46" s="25" t="str">
        <f>IF($A46="","",IFERROR(INDEX('Inventario General'!$C$5:$C$304,MATCH($A46,'Inventario General'!$A$5:$A$304,0))&amp;"","No está en el inventario"))</f>
        <v/>
      </c>
      <c r="C46" s="25" t="str">
        <f>IF($A46="","",IFERROR(INDEX('Inventario General'!$D$5:$D$304,MATCH($A46,'Inventario General'!$A$5:$A$304,0))&amp;"","No está en el inventario"))</f>
        <v/>
      </c>
      <c r="D46" s="25" t="str">
        <f>IF($A46="","",IFERROR(INDEX('Inventario General'!$I$5:$I$304,MATCH($A46,'Inventario General'!$A$5:$A$304,0))&amp;"","No está en el inventario"))</f>
        <v/>
      </c>
      <c r="E46" s="26"/>
      <c r="F46" s="29"/>
      <c r="G46" s="26"/>
      <c r="H46" s="26"/>
      <c r="I46" s="26"/>
      <c r="J46" s="26"/>
      <c r="K46" s="26"/>
      <c r="L46" s="26"/>
      <c r="M46" s="26"/>
      <c r="N46" s="26"/>
      <c r="O46" s="26"/>
      <c r="P46" s="44"/>
      <c r="Q46" s="26"/>
      <c r="R46" s="27"/>
      <c r="S46" s="26"/>
    </row>
    <row r="47" spans="1:19" x14ac:dyDescent="0.25">
      <c r="A47" s="26"/>
      <c r="B47" s="25" t="str">
        <f>IF($A47="","",IFERROR(INDEX('Inventario General'!$C$5:$C$304,MATCH($A47,'Inventario General'!$A$5:$A$304,0))&amp;"","No está en el inventario"))</f>
        <v/>
      </c>
      <c r="C47" s="25" t="str">
        <f>IF($A47="","",IFERROR(INDEX('Inventario General'!$D$5:$D$304,MATCH($A47,'Inventario General'!$A$5:$A$304,0))&amp;"","No está en el inventario"))</f>
        <v/>
      </c>
      <c r="D47" s="25" t="str">
        <f>IF($A47="","",IFERROR(INDEX('Inventario General'!$I$5:$I$304,MATCH($A47,'Inventario General'!$A$5:$A$304,0))&amp;"","No está en el inventario"))</f>
        <v/>
      </c>
      <c r="E47" s="26"/>
      <c r="F47" s="29"/>
      <c r="G47" s="26"/>
      <c r="H47" s="26"/>
      <c r="I47" s="26"/>
      <c r="J47" s="26"/>
      <c r="K47" s="26"/>
      <c r="L47" s="26"/>
      <c r="M47" s="26"/>
      <c r="N47" s="26"/>
      <c r="O47" s="26"/>
      <c r="P47" s="44"/>
      <c r="Q47" s="26"/>
      <c r="R47" s="27"/>
      <c r="S47" s="26"/>
    </row>
    <row r="48" spans="1:19" x14ac:dyDescent="0.25">
      <c r="A48" s="26"/>
      <c r="B48" s="25" t="str">
        <f>IF($A48="","",IFERROR(INDEX('Inventario General'!$C$5:$C$304,MATCH($A48,'Inventario General'!$A$5:$A$304,0))&amp;"","No está en el inventario"))</f>
        <v/>
      </c>
      <c r="C48" s="25" t="str">
        <f>IF($A48="","",IFERROR(INDEX('Inventario General'!$D$5:$D$304,MATCH($A48,'Inventario General'!$A$5:$A$304,0))&amp;"","No está en el inventario"))</f>
        <v/>
      </c>
      <c r="D48" s="25" t="str">
        <f>IF($A48="","",IFERROR(INDEX('Inventario General'!$I$5:$I$304,MATCH($A48,'Inventario General'!$A$5:$A$304,0))&amp;"","No está en el inventario"))</f>
        <v/>
      </c>
      <c r="E48" s="26"/>
      <c r="F48" s="29"/>
      <c r="G48" s="26"/>
      <c r="H48" s="26"/>
      <c r="I48" s="26"/>
      <c r="J48" s="26"/>
      <c r="K48" s="26"/>
      <c r="L48" s="26"/>
      <c r="M48" s="26"/>
      <c r="N48" s="26"/>
      <c r="O48" s="26"/>
      <c r="P48" s="44"/>
      <c r="Q48" s="26"/>
      <c r="R48" s="27"/>
      <c r="S48" s="26"/>
    </row>
    <row r="49" spans="1:19" x14ac:dyDescent="0.25">
      <c r="A49" s="26"/>
      <c r="B49" s="25" t="str">
        <f>IF($A49="","",IFERROR(INDEX('Inventario General'!$C$5:$C$304,MATCH($A49,'Inventario General'!$A$5:$A$304,0))&amp;"","No está en el inventario"))</f>
        <v/>
      </c>
      <c r="C49" s="25" t="str">
        <f>IF($A49="","",IFERROR(INDEX('Inventario General'!$D$5:$D$304,MATCH($A49,'Inventario General'!$A$5:$A$304,0))&amp;"","No está en el inventario"))</f>
        <v/>
      </c>
      <c r="D49" s="25" t="str">
        <f>IF($A49="","",IFERROR(INDEX('Inventario General'!$I$5:$I$304,MATCH($A49,'Inventario General'!$A$5:$A$304,0))&amp;"","No está en el inventario"))</f>
        <v/>
      </c>
      <c r="E49" s="26"/>
      <c r="F49" s="29"/>
      <c r="G49" s="26"/>
      <c r="H49" s="26"/>
      <c r="I49" s="26"/>
      <c r="J49" s="26"/>
      <c r="K49" s="26"/>
      <c r="L49" s="26"/>
      <c r="M49" s="26"/>
      <c r="N49" s="26"/>
      <c r="O49" s="26"/>
      <c r="P49" s="44"/>
      <c r="Q49" s="26"/>
      <c r="R49" s="27"/>
      <c r="S49" s="26"/>
    </row>
    <row r="50" spans="1:19" x14ac:dyDescent="0.25">
      <c r="A50" s="26"/>
      <c r="B50" s="25" t="str">
        <f>IF($A50="","",IFERROR(INDEX('Inventario General'!$C$5:$C$304,MATCH($A50,'Inventario General'!$A$5:$A$304,0))&amp;"","No está en el inventario"))</f>
        <v/>
      </c>
      <c r="C50" s="25" t="str">
        <f>IF($A50="","",IFERROR(INDEX('Inventario General'!$D$5:$D$304,MATCH($A50,'Inventario General'!$A$5:$A$304,0))&amp;"","No está en el inventario"))</f>
        <v/>
      </c>
      <c r="D50" s="25" t="str">
        <f>IF($A50="","",IFERROR(INDEX('Inventario General'!$I$5:$I$304,MATCH($A50,'Inventario General'!$A$5:$A$304,0))&amp;"","No está en el inventario"))</f>
        <v/>
      </c>
      <c r="E50" s="26"/>
      <c r="F50" s="29"/>
      <c r="G50" s="26"/>
      <c r="H50" s="26"/>
      <c r="I50" s="26"/>
      <c r="J50" s="26"/>
      <c r="K50" s="26"/>
      <c r="L50" s="26"/>
      <c r="M50" s="26"/>
      <c r="N50" s="26"/>
      <c r="O50" s="26"/>
      <c r="P50" s="44"/>
      <c r="Q50" s="26"/>
      <c r="R50" s="27"/>
      <c r="S50" s="26"/>
    </row>
    <row r="51" spans="1:19" x14ac:dyDescent="0.25">
      <c r="A51" s="26"/>
      <c r="B51" s="25" t="str">
        <f>IF($A51="","",IFERROR(INDEX('Inventario General'!$C$5:$C$304,MATCH($A51,'Inventario General'!$A$5:$A$304,0))&amp;"","No está en el inventario"))</f>
        <v/>
      </c>
      <c r="C51" s="25" t="str">
        <f>IF($A51="","",IFERROR(INDEX('Inventario General'!$D$5:$D$304,MATCH($A51,'Inventario General'!$A$5:$A$304,0))&amp;"","No está en el inventario"))</f>
        <v/>
      </c>
      <c r="D51" s="25" t="str">
        <f>IF($A51="","",IFERROR(INDEX('Inventario General'!$I$5:$I$304,MATCH($A51,'Inventario General'!$A$5:$A$304,0))&amp;"","No está en el inventario"))</f>
        <v/>
      </c>
      <c r="E51" s="26"/>
      <c r="F51" s="29"/>
      <c r="G51" s="26"/>
      <c r="H51" s="26"/>
      <c r="I51" s="26"/>
      <c r="J51" s="26"/>
      <c r="K51" s="26"/>
      <c r="L51" s="26"/>
      <c r="M51" s="26"/>
      <c r="N51" s="26"/>
      <c r="O51" s="26"/>
      <c r="P51" s="44"/>
      <c r="Q51" s="26"/>
      <c r="R51" s="27"/>
      <c r="S51" s="26"/>
    </row>
    <row r="52" spans="1:19" x14ac:dyDescent="0.25">
      <c r="A52" s="26"/>
      <c r="B52" s="25" t="str">
        <f>IF($A52="","",IFERROR(INDEX('Inventario General'!$C$5:$C$304,MATCH($A52,'Inventario General'!$A$5:$A$304,0))&amp;"","No está en el inventario"))</f>
        <v/>
      </c>
      <c r="C52" s="25" t="str">
        <f>IF($A52="","",IFERROR(INDEX('Inventario General'!$D$5:$D$304,MATCH($A52,'Inventario General'!$A$5:$A$304,0))&amp;"","No está en el inventario"))</f>
        <v/>
      </c>
      <c r="D52" s="25" t="str">
        <f>IF($A52="","",IFERROR(INDEX('Inventario General'!$I$5:$I$304,MATCH($A52,'Inventario General'!$A$5:$A$304,0))&amp;"","No está en el inventario"))</f>
        <v/>
      </c>
      <c r="E52" s="26"/>
      <c r="F52" s="29"/>
      <c r="G52" s="26"/>
      <c r="H52" s="26"/>
      <c r="I52" s="26"/>
      <c r="J52" s="26"/>
      <c r="K52" s="26"/>
      <c r="L52" s="26"/>
      <c r="M52" s="26"/>
      <c r="N52" s="26"/>
      <c r="O52" s="26"/>
      <c r="P52" s="44"/>
      <c r="Q52" s="26"/>
      <c r="R52" s="27"/>
      <c r="S52" s="26"/>
    </row>
    <row r="53" spans="1:19" x14ac:dyDescent="0.25">
      <c r="A53" s="26"/>
      <c r="B53" s="25" t="str">
        <f>IF($A53="","",IFERROR(INDEX('Inventario General'!$C$5:$C$304,MATCH($A53,'Inventario General'!$A$5:$A$304,0))&amp;"","No está en el inventario"))</f>
        <v/>
      </c>
      <c r="C53" s="25" t="str">
        <f>IF($A53="","",IFERROR(INDEX('Inventario General'!$D$5:$D$304,MATCH($A53,'Inventario General'!$A$5:$A$304,0))&amp;"","No está en el inventario"))</f>
        <v/>
      </c>
      <c r="D53" s="25" t="str">
        <f>IF($A53="","",IFERROR(INDEX('Inventario General'!$I$5:$I$304,MATCH($A53,'Inventario General'!$A$5:$A$304,0))&amp;"","No está en el inventario"))</f>
        <v/>
      </c>
      <c r="E53" s="26"/>
      <c r="F53" s="29"/>
      <c r="G53" s="26"/>
      <c r="H53" s="26"/>
      <c r="I53" s="26"/>
      <c r="J53" s="26"/>
      <c r="K53" s="26"/>
      <c r="L53" s="26"/>
      <c r="M53" s="26"/>
      <c r="N53" s="26"/>
      <c r="O53" s="26"/>
      <c r="P53" s="44"/>
      <c r="Q53" s="26"/>
      <c r="R53" s="27"/>
      <c r="S53" s="26"/>
    </row>
    <row r="54" spans="1:19" x14ac:dyDescent="0.25">
      <c r="A54" s="26"/>
      <c r="B54" s="25" t="str">
        <f>IF($A54="","",IFERROR(INDEX('Inventario General'!$C$5:$C$304,MATCH($A54,'Inventario General'!$A$5:$A$304,0))&amp;"","No está en el inventario"))</f>
        <v/>
      </c>
      <c r="C54" s="25" t="str">
        <f>IF($A54="","",IFERROR(INDEX('Inventario General'!$D$5:$D$304,MATCH($A54,'Inventario General'!$A$5:$A$304,0))&amp;"","No está en el inventario"))</f>
        <v/>
      </c>
      <c r="D54" s="25" t="str">
        <f>IF($A54="","",IFERROR(INDEX('Inventario General'!$I$5:$I$304,MATCH($A54,'Inventario General'!$A$5:$A$304,0))&amp;"","No está en el inventario"))</f>
        <v/>
      </c>
      <c r="E54" s="26"/>
      <c r="F54" s="29"/>
      <c r="G54" s="26"/>
      <c r="H54" s="26"/>
      <c r="I54" s="26"/>
      <c r="J54" s="26"/>
      <c r="K54" s="26"/>
      <c r="L54" s="26"/>
      <c r="M54" s="26"/>
      <c r="N54" s="26"/>
      <c r="O54" s="26"/>
      <c r="P54" s="44"/>
      <c r="Q54" s="26"/>
      <c r="R54" s="27"/>
      <c r="S54" s="26"/>
    </row>
    <row r="55" spans="1:19" x14ac:dyDescent="0.25">
      <c r="A55" s="26"/>
      <c r="B55" s="25" t="str">
        <f>IF($A55="","",IFERROR(INDEX('Inventario General'!$C$5:$C$304,MATCH($A55,'Inventario General'!$A$5:$A$304,0))&amp;"","No está en el inventario"))</f>
        <v/>
      </c>
      <c r="C55" s="25" t="str">
        <f>IF($A55="","",IFERROR(INDEX('Inventario General'!$D$5:$D$304,MATCH($A55,'Inventario General'!$A$5:$A$304,0))&amp;"","No está en el inventario"))</f>
        <v/>
      </c>
      <c r="D55" s="25" t="str">
        <f>IF($A55="","",IFERROR(INDEX('Inventario General'!$I$5:$I$304,MATCH($A55,'Inventario General'!$A$5:$A$304,0))&amp;"","No está en el inventario"))</f>
        <v/>
      </c>
      <c r="E55" s="26"/>
      <c r="F55" s="29"/>
      <c r="G55" s="26"/>
      <c r="H55" s="26"/>
      <c r="I55" s="26"/>
      <c r="J55" s="26"/>
      <c r="K55" s="26"/>
      <c r="L55" s="26"/>
      <c r="M55" s="26"/>
      <c r="N55" s="26"/>
      <c r="O55" s="26"/>
      <c r="P55" s="44"/>
      <c r="Q55" s="26"/>
      <c r="R55" s="27"/>
      <c r="S55" s="26"/>
    </row>
    <row r="56" spans="1:19" x14ac:dyDescent="0.25">
      <c r="A56" s="26"/>
      <c r="B56" s="25" t="str">
        <f>IF($A56="","",IFERROR(INDEX('Inventario General'!$C$5:$C$304,MATCH($A56,'Inventario General'!$A$5:$A$304,0))&amp;"","No está en el inventario"))</f>
        <v/>
      </c>
      <c r="C56" s="25" t="str">
        <f>IF($A56="","",IFERROR(INDEX('Inventario General'!$D$5:$D$304,MATCH($A56,'Inventario General'!$A$5:$A$304,0))&amp;"","No está en el inventario"))</f>
        <v/>
      </c>
      <c r="D56" s="25" t="str">
        <f>IF($A56="","",IFERROR(INDEX('Inventario General'!$I$5:$I$304,MATCH($A56,'Inventario General'!$A$5:$A$304,0))&amp;"","No está en el inventario"))</f>
        <v/>
      </c>
      <c r="E56" s="26"/>
      <c r="F56" s="29"/>
      <c r="G56" s="26"/>
      <c r="H56" s="26"/>
      <c r="I56" s="26"/>
      <c r="J56" s="26"/>
      <c r="K56" s="26"/>
      <c r="L56" s="26"/>
      <c r="M56" s="26"/>
      <c r="N56" s="26"/>
      <c r="O56" s="26"/>
      <c r="P56" s="44"/>
      <c r="Q56" s="26"/>
      <c r="R56" s="27"/>
      <c r="S56" s="26"/>
    </row>
    <row r="57" spans="1:19" x14ac:dyDescent="0.25">
      <c r="A57" s="26"/>
      <c r="B57" s="25" t="str">
        <f>IF($A57="","",IFERROR(INDEX('Inventario General'!$C$5:$C$304,MATCH($A57,'Inventario General'!$A$5:$A$304,0))&amp;"","No está en el inventario"))</f>
        <v/>
      </c>
      <c r="C57" s="25" t="str">
        <f>IF($A57="","",IFERROR(INDEX('Inventario General'!$D$5:$D$304,MATCH($A57,'Inventario General'!$A$5:$A$304,0))&amp;"","No está en el inventario"))</f>
        <v/>
      </c>
      <c r="D57" s="25" t="str">
        <f>IF($A57="","",IFERROR(INDEX('Inventario General'!$I$5:$I$304,MATCH($A57,'Inventario General'!$A$5:$A$304,0))&amp;"","No está en el inventario"))</f>
        <v/>
      </c>
      <c r="E57" s="26"/>
      <c r="F57" s="29"/>
      <c r="G57" s="26"/>
      <c r="H57" s="26"/>
      <c r="I57" s="26"/>
      <c r="J57" s="26"/>
      <c r="K57" s="26"/>
      <c r="L57" s="26"/>
      <c r="M57" s="26"/>
      <c r="N57" s="26"/>
      <c r="O57" s="26"/>
      <c r="P57" s="44"/>
      <c r="Q57" s="26"/>
      <c r="R57" s="27"/>
      <c r="S57" s="26"/>
    </row>
    <row r="58" spans="1:19" x14ac:dyDescent="0.25">
      <c r="A58" s="26"/>
      <c r="B58" s="25" t="str">
        <f>IF($A58="","",IFERROR(INDEX('Inventario General'!$C$5:$C$304,MATCH($A58,'Inventario General'!$A$5:$A$304,0))&amp;"","No está en el inventario"))</f>
        <v/>
      </c>
      <c r="C58" s="25" t="str">
        <f>IF($A58="","",IFERROR(INDEX('Inventario General'!$D$5:$D$304,MATCH($A58,'Inventario General'!$A$5:$A$304,0))&amp;"","No está en el inventario"))</f>
        <v/>
      </c>
      <c r="D58" s="25" t="str">
        <f>IF($A58="","",IFERROR(INDEX('Inventario General'!$I$5:$I$304,MATCH($A58,'Inventario General'!$A$5:$A$304,0))&amp;"","No está en el inventario"))</f>
        <v/>
      </c>
      <c r="E58" s="26"/>
      <c r="F58" s="29"/>
      <c r="G58" s="26"/>
      <c r="H58" s="26"/>
      <c r="I58" s="26"/>
      <c r="J58" s="26"/>
      <c r="K58" s="26"/>
      <c r="L58" s="26"/>
      <c r="M58" s="26"/>
      <c r="N58" s="26"/>
      <c r="O58" s="26"/>
      <c r="P58" s="44"/>
      <c r="Q58" s="26"/>
      <c r="R58" s="27"/>
      <c r="S58" s="26"/>
    </row>
    <row r="59" spans="1:19" x14ac:dyDescent="0.25">
      <c r="A59" s="26"/>
      <c r="B59" s="25" t="str">
        <f>IF($A59="","",IFERROR(INDEX('Inventario General'!$C$5:$C$304,MATCH($A59,'Inventario General'!$A$5:$A$304,0))&amp;"","No está en el inventario"))</f>
        <v/>
      </c>
      <c r="C59" s="25" t="str">
        <f>IF($A59="","",IFERROR(INDEX('Inventario General'!$D$5:$D$304,MATCH($A59,'Inventario General'!$A$5:$A$304,0))&amp;"","No está en el inventario"))</f>
        <v/>
      </c>
      <c r="D59" s="25" t="str">
        <f>IF($A59="","",IFERROR(INDEX('Inventario General'!$I$5:$I$304,MATCH($A59,'Inventario General'!$A$5:$A$304,0))&amp;"","No está en el inventario"))</f>
        <v/>
      </c>
      <c r="E59" s="26"/>
      <c r="F59" s="29"/>
      <c r="G59" s="26"/>
      <c r="H59" s="26"/>
      <c r="I59" s="26"/>
      <c r="J59" s="26"/>
      <c r="K59" s="26"/>
      <c r="L59" s="26"/>
      <c r="M59" s="26"/>
      <c r="N59" s="26"/>
      <c r="O59" s="26"/>
      <c r="P59" s="44"/>
      <c r="Q59" s="26"/>
      <c r="R59" s="27"/>
      <c r="S59" s="26"/>
    </row>
    <row r="60" spans="1:19" x14ac:dyDescent="0.25">
      <c r="A60" s="26"/>
      <c r="B60" s="25" t="str">
        <f>IF($A60="","",IFERROR(INDEX('Inventario General'!$C$5:$C$304,MATCH($A60,'Inventario General'!$A$5:$A$304,0))&amp;"","No está en el inventario"))</f>
        <v/>
      </c>
      <c r="C60" s="25" t="str">
        <f>IF($A60="","",IFERROR(INDEX('Inventario General'!$D$5:$D$304,MATCH($A60,'Inventario General'!$A$5:$A$304,0))&amp;"","No está en el inventario"))</f>
        <v/>
      </c>
      <c r="D60" s="25" t="str">
        <f>IF($A60="","",IFERROR(INDEX('Inventario General'!$I$5:$I$304,MATCH($A60,'Inventario General'!$A$5:$A$304,0))&amp;"","No está en el inventario"))</f>
        <v/>
      </c>
      <c r="E60" s="26"/>
      <c r="F60" s="29"/>
      <c r="G60" s="26"/>
      <c r="H60" s="26"/>
      <c r="I60" s="26"/>
      <c r="J60" s="26"/>
      <c r="K60" s="26"/>
      <c r="L60" s="26"/>
      <c r="M60" s="26"/>
      <c r="N60" s="26"/>
      <c r="O60" s="26"/>
      <c r="P60" s="44"/>
      <c r="Q60" s="26"/>
      <c r="R60" s="27"/>
      <c r="S60" s="26"/>
    </row>
    <row r="61" spans="1:19" x14ac:dyDescent="0.25">
      <c r="A61" s="26"/>
      <c r="B61" s="25" t="str">
        <f>IF($A61="","",IFERROR(INDEX('Inventario General'!$C$5:$C$304,MATCH($A61,'Inventario General'!$A$5:$A$304,0))&amp;"","No está en el inventario"))</f>
        <v/>
      </c>
      <c r="C61" s="25" t="str">
        <f>IF($A61="","",IFERROR(INDEX('Inventario General'!$D$5:$D$304,MATCH($A61,'Inventario General'!$A$5:$A$304,0))&amp;"","No está en el inventario"))</f>
        <v/>
      </c>
      <c r="D61" s="25" t="str">
        <f>IF($A61="","",IFERROR(INDEX('Inventario General'!$I$5:$I$304,MATCH($A61,'Inventario General'!$A$5:$A$304,0))&amp;"","No está en el inventario"))</f>
        <v/>
      </c>
      <c r="E61" s="26"/>
      <c r="F61" s="29"/>
      <c r="G61" s="26"/>
      <c r="H61" s="26"/>
      <c r="I61" s="26"/>
      <c r="J61" s="26"/>
      <c r="K61" s="26"/>
      <c r="L61" s="26"/>
      <c r="M61" s="26"/>
      <c r="N61" s="26"/>
      <c r="O61" s="26"/>
      <c r="P61" s="44"/>
      <c r="Q61" s="26"/>
      <c r="R61" s="27"/>
      <c r="S61" s="26"/>
    </row>
    <row r="62" spans="1:19" x14ac:dyDescent="0.25">
      <c r="A62" s="26"/>
      <c r="B62" s="25" t="str">
        <f>IF($A62="","",IFERROR(INDEX('Inventario General'!$C$5:$C$304,MATCH($A62,'Inventario General'!$A$5:$A$304,0))&amp;"","No está en el inventario"))</f>
        <v/>
      </c>
      <c r="C62" s="25" t="str">
        <f>IF($A62="","",IFERROR(INDEX('Inventario General'!$D$5:$D$304,MATCH($A62,'Inventario General'!$A$5:$A$304,0))&amp;"","No está en el inventario"))</f>
        <v/>
      </c>
      <c r="D62" s="25" t="str">
        <f>IF($A62="","",IFERROR(INDEX('Inventario General'!$I$5:$I$304,MATCH($A62,'Inventario General'!$A$5:$A$304,0))&amp;"","No está en el inventario"))</f>
        <v/>
      </c>
      <c r="E62" s="26"/>
      <c r="F62" s="29"/>
      <c r="G62" s="26"/>
      <c r="H62" s="26"/>
      <c r="I62" s="26"/>
      <c r="J62" s="26"/>
      <c r="K62" s="26"/>
      <c r="L62" s="26"/>
      <c r="M62" s="26"/>
      <c r="N62" s="26"/>
      <c r="O62" s="26"/>
      <c r="P62" s="44"/>
      <c r="Q62" s="26"/>
      <c r="R62" s="27"/>
      <c r="S62" s="26"/>
    </row>
    <row r="63" spans="1:19" x14ac:dyDescent="0.25">
      <c r="A63" s="26"/>
      <c r="B63" s="25" t="str">
        <f>IF($A63="","",IFERROR(INDEX('Inventario General'!$C$5:$C$304,MATCH($A63,'Inventario General'!$A$5:$A$304,0))&amp;"","No está en el inventario"))</f>
        <v/>
      </c>
      <c r="C63" s="25" t="str">
        <f>IF($A63="","",IFERROR(INDEX('Inventario General'!$D$5:$D$304,MATCH($A63,'Inventario General'!$A$5:$A$304,0))&amp;"","No está en el inventario"))</f>
        <v/>
      </c>
      <c r="D63" s="25" t="str">
        <f>IF($A63="","",IFERROR(INDEX('Inventario General'!$I$5:$I$304,MATCH($A63,'Inventario General'!$A$5:$A$304,0))&amp;"","No está en el inventario"))</f>
        <v/>
      </c>
      <c r="E63" s="26"/>
      <c r="F63" s="29"/>
      <c r="G63" s="26"/>
      <c r="H63" s="26"/>
      <c r="I63" s="26"/>
      <c r="J63" s="26"/>
      <c r="K63" s="26"/>
      <c r="L63" s="26"/>
      <c r="M63" s="26"/>
      <c r="N63" s="26"/>
      <c r="O63" s="26"/>
      <c r="P63" s="44"/>
      <c r="Q63" s="26"/>
      <c r="R63" s="27"/>
      <c r="S63" s="26"/>
    </row>
    <row r="64" spans="1:19" x14ac:dyDescent="0.25">
      <c r="A64" s="26"/>
      <c r="B64" s="25" t="str">
        <f>IF($A64="","",IFERROR(INDEX('Inventario General'!$C$5:$C$304,MATCH($A64,'Inventario General'!$A$5:$A$304,0))&amp;"","No está en el inventario"))</f>
        <v/>
      </c>
      <c r="C64" s="25" t="str">
        <f>IF($A64="","",IFERROR(INDEX('Inventario General'!$D$5:$D$304,MATCH($A64,'Inventario General'!$A$5:$A$304,0))&amp;"","No está en el inventario"))</f>
        <v/>
      </c>
      <c r="D64" s="25" t="str">
        <f>IF($A64="","",IFERROR(INDEX('Inventario General'!$I$5:$I$304,MATCH($A64,'Inventario General'!$A$5:$A$304,0))&amp;"","No está en el inventario"))</f>
        <v/>
      </c>
      <c r="E64" s="26"/>
      <c r="F64" s="29"/>
      <c r="G64" s="26"/>
      <c r="H64" s="26"/>
      <c r="I64" s="26"/>
      <c r="J64" s="26"/>
      <c r="K64" s="26"/>
      <c r="L64" s="26"/>
      <c r="M64" s="26"/>
      <c r="N64" s="26"/>
      <c r="O64" s="26"/>
      <c r="P64" s="44"/>
      <c r="Q64" s="26"/>
      <c r="R64" s="27"/>
      <c r="S64" s="26"/>
    </row>
    <row r="65" spans="1:19" x14ac:dyDescent="0.25">
      <c r="A65" s="26"/>
      <c r="B65" s="25" t="str">
        <f>IF($A65="","",IFERROR(INDEX('Inventario General'!$C$5:$C$304,MATCH($A65,'Inventario General'!$A$5:$A$304,0))&amp;"","No está en el inventario"))</f>
        <v/>
      </c>
      <c r="C65" s="25" t="str">
        <f>IF($A65="","",IFERROR(INDEX('Inventario General'!$D$5:$D$304,MATCH($A65,'Inventario General'!$A$5:$A$304,0))&amp;"","No está en el inventario"))</f>
        <v/>
      </c>
      <c r="D65" s="25" t="str">
        <f>IF($A65="","",IFERROR(INDEX('Inventario General'!$I$5:$I$304,MATCH($A65,'Inventario General'!$A$5:$A$304,0))&amp;"","No está en el inventario"))</f>
        <v/>
      </c>
      <c r="E65" s="26"/>
      <c r="F65" s="29"/>
      <c r="G65" s="26"/>
      <c r="H65" s="26"/>
      <c r="I65" s="26"/>
      <c r="J65" s="26"/>
      <c r="K65" s="26"/>
      <c r="L65" s="26"/>
      <c r="M65" s="26"/>
      <c r="N65" s="26"/>
      <c r="O65" s="26"/>
      <c r="P65" s="44"/>
      <c r="Q65" s="26"/>
      <c r="R65" s="27"/>
      <c r="S65" s="26"/>
    </row>
    <row r="66" spans="1:19" x14ac:dyDescent="0.25">
      <c r="A66" s="26"/>
      <c r="B66" s="25" t="str">
        <f>IF($A66="","",IFERROR(INDEX('Inventario General'!$C$5:$C$304,MATCH($A66,'Inventario General'!$A$5:$A$304,0))&amp;"","No está en el inventario"))</f>
        <v/>
      </c>
      <c r="C66" s="25" t="str">
        <f>IF($A66="","",IFERROR(INDEX('Inventario General'!$D$5:$D$304,MATCH($A66,'Inventario General'!$A$5:$A$304,0))&amp;"","No está en el inventario"))</f>
        <v/>
      </c>
      <c r="D66" s="25" t="str">
        <f>IF($A66="","",IFERROR(INDEX('Inventario General'!$I$5:$I$304,MATCH($A66,'Inventario General'!$A$5:$A$304,0))&amp;"","No está en el inventario"))</f>
        <v/>
      </c>
      <c r="E66" s="26"/>
      <c r="F66" s="29"/>
      <c r="G66" s="26"/>
      <c r="H66" s="26"/>
      <c r="I66" s="26"/>
      <c r="J66" s="26"/>
      <c r="K66" s="26"/>
      <c r="L66" s="26"/>
      <c r="M66" s="26"/>
      <c r="N66" s="26"/>
      <c r="O66" s="26"/>
      <c r="P66" s="44"/>
      <c r="Q66" s="26"/>
      <c r="R66" s="27"/>
      <c r="S66" s="26"/>
    </row>
    <row r="67" spans="1:19" x14ac:dyDescent="0.25">
      <c r="A67" s="26"/>
      <c r="B67" s="25" t="str">
        <f>IF($A67="","",IFERROR(INDEX('Inventario General'!$C$5:$C$304,MATCH($A67,'Inventario General'!$A$5:$A$304,0))&amp;"","No está en el inventario"))</f>
        <v/>
      </c>
      <c r="C67" s="25" t="str">
        <f>IF($A67="","",IFERROR(INDEX('Inventario General'!$D$5:$D$304,MATCH($A67,'Inventario General'!$A$5:$A$304,0))&amp;"","No está en el inventario"))</f>
        <v/>
      </c>
      <c r="D67" s="25" t="str">
        <f>IF($A67="","",IFERROR(INDEX('Inventario General'!$I$5:$I$304,MATCH($A67,'Inventario General'!$A$5:$A$304,0))&amp;"","No está en el inventario"))</f>
        <v/>
      </c>
      <c r="E67" s="26"/>
      <c r="F67" s="29"/>
      <c r="G67" s="26"/>
      <c r="H67" s="26"/>
      <c r="I67" s="26"/>
      <c r="J67" s="26"/>
      <c r="K67" s="26"/>
      <c r="L67" s="26"/>
      <c r="M67" s="26"/>
      <c r="N67" s="26"/>
      <c r="O67" s="26"/>
      <c r="P67" s="44"/>
      <c r="Q67" s="26"/>
      <c r="R67" s="27"/>
      <c r="S67" s="26"/>
    </row>
    <row r="68" spans="1:19" x14ac:dyDescent="0.25">
      <c r="A68" s="26"/>
      <c r="B68" s="25" t="str">
        <f>IF($A68="","",IFERROR(INDEX('Inventario General'!$C$5:$C$304,MATCH($A68,'Inventario General'!$A$5:$A$304,0))&amp;"","No está en el inventario"))</f>
        <v/>
      </c>
      <c r="C68" s="25" t="str">
        <f>IF($A68="","",IFERROR(INDEX('Inventario General'!$D$5:$D$304,MATCH($A68,'Inventario General'!$A$5:$A$304,0))&amp;"","No está en el inventario"))</f>
        <v/>
      </c>
      <c r="D68" s="25" t="str">
        <f>IF($A68="","",IFERROR(INDEX('Inventario General'!$I$5:$I$304,MATCH($A68,'Inventario General'!$A$5:$A$304,0))&amp;"","No está en el inventario"))</f>
        <v/>
      </c>
      <c r="E68" s="26"/>
      <c r="F68" s="29"/>
      <c r="G68" s="26"/>
      <c r="H68" s="26"/>
      <c r="I68" s="26"/>
      <c r="J68" s="26"/>
      <c r="K68" s="26"/>
      <c r="L68" s="26"/>
      <c r="M68" s="26"/>
      <c r="N68" s="26"/>
      <c r="O68" s="26"/>
      <c r="P68" s="44"/>
      <c r="Q68" s="26"/>
      <c r="R68" s="27"/>
      <c r="S68" s="26"/>
    </row>
    <row r="69" spans="1:19" x14ac:dyDescent="0.25">
      <c r="A69" s="26"/>
      <c r="B69" s="25" t="str">
        <f>IF($A69="","",IFERROR(INDEX('Inventario General'!$C$5:$C$304,MATCH($A69,'Inventario General'!$A$5:$A$304,0))&amp;"","No está en el inventario"))</f>
        <v/>
      </c>
      <c r="C69" s="25" t="str">
        <f>IF($A69="","",IFERROR(INDEX('Inventario General'!$D$5:$D$304,MATCH($A69,'Inventario General'!$A$5:$A$304,0))&amp;"","No está en el inventario"))</f>
        <v/>
      </c>
      <c r="D69" s="25" t="str">
        <f>IF($A69="","",IFERROR(INDEX('Inventario General'!$I$5:$I$304,MATCH($A69,'Inventario General'!$A$5:$A$304,0))&amp;"","No está en el inventario"))</f>
        <v/>
      </c>
      <c r="E69" s="26"/>
      <c r="F69" s="29"/>
      <c r="G69" s="26"/>
      <c r="H69" s="26"/>
      <c r="I69" s="26"/>
      <c r="J69" s="26"/>
      <c r="K69" s="26"/>
      <c r="L69" s="26"/>
      <c r="M69" s="26"/>
      <c r="N69" s="26"/>
      <c r="O69" s="26"/>
      <c r="P69" s="44"/>
      <c r="Q69" s="26"/>
      <c r="R69" s="27"/>
      <c r="S69" s="26"/>
    </row>
    <row r="70" spans="1:19" x14ac:dyDescent="0.25">
      <c r="A70" s="26"/>
      <c r="B70" s="25" t="str">
        <f>IF($A70="","",IFERROR(INDEX('Inventario General'!$C$5:$C$304,MATCH($A70,'Inventario General'!$A$5:$A$304,0))&amp;"","No está en el inventario"))</f>
        <v/>
      </c>
      <c r="C70" s="25" t="str">
        <f>IF($A70="","",IFERROR(INDEX('Inventario General'!$D$5:$D$304,MATCH($A70,'Inventario General'!$A$5:$A$304,0))&amp;"","No está en el inventario"))</f>
        <v/>
      </c>
      <c r="D70" s="25" t="str">
        <f>IF($A70="","",IFERROR(INDEX('Inventario General'!$I$5:$I$304,MATCH($A70,'Inventario General'!$A$5:$A$304,0))&amp;"","No está en el inventario"))</f>
        <v/>
      </c>
      <c r="E70" s="26"/>
      <c r="F70" s="29"/>
      <c r="G70" s="26"/>
      <c r="H70" s="26"/>
      <c r="I70" s="26"/>
      <c r="J70" s="26"/>
      <c r="K70" s="26"/>
      <c r="L70" s="26"/>
      <c r="M70" s="26"/>
      <c r="N70" s="26"/>
      <c r="O70" s="26"/>
      <c r="P70" s="44"/>
      <c r="Q70" s="26"/>
      <c r="R70" s="27"/>
      <c r="S70" s="26"/>
    </row>
    <row r="71" spans="1:19" x14ac:dyDescent="0.25">
      <c r="A71" s="26"/>
      <c r="B71" s="25" t="str">
        <f>IF($A71="","",IFERROR(INDEX('Inventario General'!$C$5:$C$304,MATCH($A71,'Inventario General'!$A$5:$A$304,0))&amp;"","No está en el inventario"))</f>
        <v/>
      </c>
      <c r="C71" s="25" t="str">
        <f>IF($A71="","",IFERROR(INDEX('Inventario General'!$D$5:$D$304,MATCH($A71,'Inventario General'!$A$5:$A$304,0))&amp;"","No está en el inventario"))</f>
        <v/>
      </c>
      <c r="D71" s="25" t="str">
        <f>IF($A71="","",IFERROR(INDEX('Inventario General'!$I$5:$I$304,MATCH($A71,'Inventario General'!$A$5:$A$304,0))&amp;"","No está en el inventario"))</f>
        <v/>
      </c>
      <c r="E71" s="26"/>
      <c r="F71" s="29"/>
      <c r="G71" s="26"/>
      <c r="H71" s="26"/>
      <c r="I71" s="26"/>
      <c r="J71" s="26"/>
      <c r="K71" s="26"/>
      <c r="L71" s="26"/>
      <c r="M71" s="26"/>
      <c r="N71" s="26"/>
      <c r="O71" s="26"/>
      <c r="P71" s="44"/>
      <c r="Q71" s="26"/>
      <c r="R71" s="27"/>
      <c r="S71" s="26"/>
    </row>
    <row r="72" spans="1:19" x14ac:dyDescent="0.25">
      <c r="A72" s="26"/>
      <c r="B72" s="25" t="str">
        <f>IF($A72="","",IFERROR(INDEX('Inventario General'!$C$5:$C$304,MATCH($A72,'Inventario General'!$A$5:$A$304,0))&amp;"","No está en el inventario"))</f>
        <v/>
      </c>
      <c r="C72" s="25" t="str">
        <f>IF($A72="","",IFERROR(INDEX('Inventario General'!$D$5:$D$304,MATCH($A72,'Inventario General'!$A$5:$A$304,0))&amp;"","No está en el inventario"))</f>
        <v/>
      </c>
      <c r="D72" s="25" t="str">
        <f>IF($A72="","",IFERROR(INDEX('Inventario General'!$I$5:$I$304,MATCH($A72,'Inventario General'!$A$5:$A$304,0))&amp;"","No está en el inventario"))</f>
        <v/>
      </c>
      <c r="E72" s="26"/>
      <c r="F72" s="29"/>
      <c r="G72" s="26"/>
      <c r="H72" s="26"/>
      <c r="I72" s="26"/>
      <c r="J72" s="26"/>
      <c r="K72" s="26"/>
      <c r="L72" s="26"/>
      <c r="M72" s="26"/>
      <c r="N72" s="26"/>
      <c r="O72" s="26"/>
      <c r="P72" s="44"/>
      <c r="Q72" s="26"/>
      <c r="R72" s="27"/>
      <c r="S72" s="26"/>
    </row>
    <row r="73" spans="1:19" x14ac:dyDescent="0.25">
      <c r="A73" s="26"/>
      <c r="B73" s="25" t="str">
        <f>IF($A73="","",IFERROR(INDEX('Inventario General'!$C$5:$C$304,MATCH($A73,'Inventario General'!$A$5:$A$304,0))&amp;"","No está en el inventario"))</f>
        <v/>
      </c>
      <c r="C73" s="25" t="str">
        <f>IF($A73="","",IFERROR(INDEX('Inventario General'!$D$5:$D$304,MATCH($A73,'Inventario General'!$A$5:$A$304,0))&amp;"","No está en el inventario"))</f>
        <v/>
      </c>
      <c r="D73" s="25" t="str">
        <f>IF($A73="","",IFERROR(INDEX('Inventario General'!$I$5:$I$304,MATCH($A73,'Inventario General'!$A$5:$A$304,0))&amp;"","No está en el inventario"))</f>
        <v/>
      </c>
      <c r="E73" s="26"/>
      <c r="F73" s="29"/>
      <c r="G73" s="26"/>
      <c r="H73" s="26"/>
      <c r="I73" s="26"/>
      <c r="J73" s="26"/>
      <c r="K73" s="26"/>
      <c r="L73" s="26"/>
      <c r="M73" s="26"/>
      <c r="N73" s="26"/>
      <c r="O73" s="26"/>
      <c r="P73" s="44"/>
      <c r="Q73" s="26"/>
      <c r="R73" s="27"/>
      <c r="S73" s="26"/>
    </row>
    <row r="74" spans="1:19" x14ac:dyDescent="0.25">
      <c r="A74" s="26"/>
      <c r="B74" s="25" t="str">
        <f>IF($A74="","",IFERROR(INDEX('Inventario General'!$C$5:$C$304,MATCH($A74,'Inventario General'!$A$5:$A$304,0))&amp;"","No está en el inventario"))</f>
        <v/>
      </c>
      <c r="C74" s="25" t="str">
        <f>IF($A74="","",IFERROR(INDEX('Inventario General'!$D$5:$D$304,MATCH($A74,'Inventario General'!$A$5:$A$304,0))&amp;"","No está en el inventario"))</f>
        <v/>
      </c>
      <c r="D74" s="25" t="str">
        <f>IF($A74="","",IFERROR(INDEX('Inventario General'!$I$5:$I$304,MATCH($A74,'Inventario General'!$A$5:$A$304,0))&amp;"","No está en el inventario"))</f>
        <v/>
      </c>
      <c r="E74" s="26"/>
      <c r="F74" s="29"/>
      <c r="G74" s="26"/>
      <c r="H74" s="26"/>
      <c r="I74" s="26"/>
      <c r="J74" s="26"/>
      <c r="K74" s="26"/>
      <c r="L74" s="26"/>
      <c r="M74" s="26"/>
      <c r="N74" s="26"/>
      <c r="O74" s="26"/>
      <c r="P74" s="44"/>
      <c r="Q74" s="26"/>
      <c r="R74" s="27"/>
      <c r="S74" s="26"/>
    </row>
    <row r="75" spans="1:19" x14ac:dyDescent="0.25">
      <c r="A75" s="26"/>
      <c r="B75" s="25" t="str">
        <f>IF($A75="","",IFERROR(INDEX('Inventario General'!$C$5:$C$304,MATCH($A75,'Inventario General'!$A$5:$A$304,0))&amp;"","No está en el inventario"))</f>
        <v/>
      </c>
      <c r="C75" s="25" t="str">
        <f>IF($A75="","",IFERROR(INDEX('Inventario General'!$D$5:$D$304,MATCH($A75,'Inventario General'!$A$5:$A$304,0))&amp;"","No está en el inventario"))</f>
        <v/>
      </c>
      <c r="D75" s="25" t="str">
        <f>IF($A75="","",IFERROR(INDEX('Inventario General'!$I$5:$I$304,MATCH($A75,'Inventario General'!$A$5:$A$304,0))&amp;"","No está en el inventario"))</f>
        <v/>
      </c>
      <c r="E75" s="26"/>
      <c r="F75" s="29"/>
      <c r="G75" s="26"/>
      <c r="H75" s="26"/>
      <c r="I75" s="26"/>
      <c r="J75" s="26"/>
      <c r="K75" s="26"/>
      <c r="L75" s="26"/>
      <c r="M75" s="26"/>
      <c r="N75" s="26"/>
      <c r="O75" s="26"/>
      <c r="P75" s="44"/>
      <c r="Q75" s="26"/>
      <c r="R75" s="27"/>
      <c r="S75" s="26"/>
    </row>
    <row r="76" spans="1:19" x14ac:dyDescent="0.25">
      <c r="A76" s="26"/>
      <c r="B76" s="25" t="str">
        <f>IF($A76="","",IFERROR(INDEX('Inventario General'!$C$5:$C$304,MATCH($A76,'Inventario General'!$A$5:$A$304,0))&amp;"","No está en el inventario"))</f>
        <v/>
      </c>
      <c r="C76" s="25" t="str">
        <f>IF($A76="","",IFERROR(INDEX('Inventario General'!$D$5:$D$304,MATCH($A76,'Inventario General'!$A$5:$A$304,0))&amp;"","No está en el inventario"))</f>
        <v/>
      </c>
      <c r="D76" s="25" t="str">
        <f>IF($A76="","",IFERROR(INDEX('Inventario General'!$I$5:$I$304,MATCH($A76,'Inventario General'!$A$5:$A$304,0))&amp;"","No está en el inventario"))</f>
        <v/>
      </c>
      <c r="E76" s="26"/>
      <c r="F76" s="29"/>
      <c r="G76" s="26"/>
      <c r="H76" s="26"/>
      <c r="I76" s="26"/>
      <c r="J76" s="26"/>
      <c r="K76" s="26"/>
      <c r="L76" s="26"/>
      <c r="M76" s="26"/>
      <c r="N76" s="26"/>
      <c r="O76" s="26"/>
      <c r="P76" s="44"/>
      <c r="Q76" s="26"/>
      <c r="R76" s="27"/>
      <c r="S76" s="26"/>
    </row>
    <row r="77" spans="1:19" x14ac:dyDescent="0.25">
      <c r="A77" s="26"/>
      <c r="B77" s="25" t="str">
        <f>IF($A77="","",IFERROR(INDEX('Inventario General'!$C$5:$C$304,MATCH($A77,'Inventario General'!$A$5:$A$304,0))&amp;"","No está en el inventario"))</f>
        <v/>
      </c>
      <c r="C77" s="25" t="str">
        <f>IF($A77="","",IFERROR(INDEX('Inventario General'!$D$5:$D$304,MATCH($A77,'Inventario General'!$A$5:$A$304,0))&amp;"","No está en el inventario"))</f>
        <v/>
      </c>
      <c r="D77" s="25" t="str">
        <f>IF($A77="","",IFERROR(INDEX('Inventario General'!$I$5:$I$304,MATCH($A77,'Inventario General'!$A$5:$A$304,0))&amp;"","No está en el inventario"))</f>
        <v/>
      </c>
      <c r="E77" s="26"/>
      <c r="F77" s="29"/>
      <c r="G77" s="26"/>
      <c r="H77" s="26"/>
      <c r="I77" s="26"/>
      <c r="J77" s="26"/>
      <c r="K77" s="26"/>
      <c r="L77" s="26"/>
      <c r="M77" s="26"/>
      <c r="N77" s="26"/>
      <c r="O77" s="26"/>
      <c r="P77" s="44"/>
      <c r="Q77" s="26"/>
      <c r="R77" s="27"/>
      <c r="S77" s="26"/>
    </row>
    <row r="78" spans="1:19" x14ac:dyDescent="0.25">
      <c r="A78" s="26"/>
      <c r="B78" s="25" t="str">
        <f>IF($A78="","",IFERROR(INDEX('Inventario General'!$C$5:$C$304,MATCH($A78,'Inventario General'!$A$5:$A$304,0))&amp;"","No está en el inventario"))</f>
        <v/>
      </c>
      <c r="C78" s="25" t="str">
        <f>IF($A78="","",IFERROR(INDEX('Inventario General'!$D$5:$D$304,MATCH($A78,'Inventario General'!$A$5:$A$304,0))&amp;"","No está en el inventario"))</f>
        <v/>
      </c>
      <c r="D78" s="25" t="str">
        <f>IF($A78="","",IFERROR(INDEX('Inventario General'!$I$5:$I$304,MATCH($A78,'Inventario General'!$A$5:$A$304,0))&amp;"","No está en el inventario"))</f>
        <v/>
      </c>
      <c r="E78" s="26"/>
      <c r="F78" s="29"/>
      <c r="G78" s="26"/>
      <c r="H78" s="26"/>
      <c r="I78" s="26"/>
      <c r="J78" s="26"/>
      <c r="K78" s="26"/>
      <c r="L78" s="26"/>
      <c r="M78" s="26"/>
      <c r="N78" s="26"/>
      <c r="O78" s="26"/>
      <c r="P78" s="44"/>
      <c r="Q78" s="26"/>
      <c r="R78" s="27"/>
      <c r="S78" s="26"/>
    </row>
    <row r="79" spans="1:19" x14ac:dyDescent="0.25">
      <c r="A79" s="26"/>
      <c r="B79" s="25" t="str">
        <f>IF($A79="","",IFERROR(INDEX('Inventario General'!$C$5:$C$304,MATCH($A79,'Inventario General'!$A$5:$A$304,0))&amp;"","No está en el inventario"))</f>
        <v/>
      </c>
      <c r="C79" s="25" t="str">
        <f>IF($A79="","",IFERROR(INDEX('Inventario General'!$D$5:$D$304,MATCH($A79,'Inventario General'!$A$5:$A$304,0))&amp;"","No está en el inventario"))</f>
        <v/>
      </c>
      <c r="D79" s="25" t="str">
        <f>IF($A79="","",IFERROR(INDEX('Inventario General'!$I$5:$I$304,MATCH($A79,'Inventario General'!$A$5:$A$304,0))&amp;"","No está en el inventario"))</f>
        <v/>
      </c>
      <c r="E79" s="26"/>
      <c r="F79" s="29"/>
      <c r="G79" s="26"/>
      <c r="H79" s="26"/>
      <c r="I79" s="26"/>
      <c r="J79" s="26"/>
      <c r="K79" s="26"/>
      <c r="L79" s="26"/>
      <c r="M79" s="26"/>
      <c r="N79" s="26"/>
      <c r="O79" s="26"/>
      <c r="P79" s="44"/>
      <c r="Q79" s="26"/>
      <c r="R79" s="27"/>
      <c r="S79" s="26"/>
    </row>
    <row r="80" spans="1:19" x14ac:dyDescent="0.25">
      <c r="A80" s="26"/>
      <c r="B80" s="25" t="str">
        <f>IF($A80="","",IFERROR(INDEX('Inventario General'!$C$5:$C$304,MATCH($A80,'Inventario General'!$A$5:$A$304,0))&amp;"","No está en el inventario"))</f>
        <v/>
      </c>
      <c r="C80" s="25" t="str">
        <f>IF($A80="","",IFERROR(INDEX('Inventario General'!$D$5:$D$304,MATCH($A80,'Inventario General'!$A$5:$A$304,0))&amp;"","No está en el inventario"))</f>
        <v/>
      </c>
      <c r="D80" s="25" t="str">
        <f>IF($A80="","",IFERROR(INDEX('Inventario General'!$I$5:$I$304,MATCH($A80,'Inventario General'!$A$5:$A$304,0))&amp;"","No está en el inventario"))</f>
        <v/>
      </c>
      <c r="E80" s="26"/>
      <c r="F80" s="29"/>
      <c r="G80" s="26"/>
      <c r="H80" s="26"/>
      <c r="I80" s="26"/>
      <c r="J80" s="26"/>
      <c r="K80" s="26"/>
      <c r="L80" s="26"/>
      <c r="M80" s="26"/>
      <c r="N80" s="26"/>
      <c r="O80" s="26"/>
      <c r="P80" s="44"/>
      <c r="Q80" s="26"/>
      <c r="R80" s="27"/>
      <c r="S80" s="26"/>
    </row>
    <row r="81" spans="1:19" x14ac:dyDescent="0.25">
      <c r="A81" s="26"/>
      <c r="B81" s="25" t="str">
        <f>IF($A81="","",IFERROR(INDEX('Inventario General'!$C$5:$C$304,MATCH($A81,'Inventario General'!$A$5:$A$304,0))&amp;"","No está en el inventario"))</f>
        <v/>
      </c>
      <c r="C81" s="25" t="str">
        <f>IF($A81="","",IFERROR(INDEX('Inventario General'!$D$5:$D$304,MATCH($A81,'Inventario General'!$A$5:$A$304,0))&amp;"","No está en el inventario"))</f>
        <v/>
      </c>
      <c r="D81" s="25" t="str">
        <f>IF($A81="","",IFERROR(INDEX('Inventario General'!$I$5:$I$304,MATCH($A81,'Inventario General'!$A$5:$A$304,0))&amp;"","No está en el inventario"))</f>
        <v/>
      </c>
      <c r="E81" s="26"/>
      <c r="F81" s="29"/>
      <c r="G81" s="26"/>
      <c r="H81" s="26"/>
      <c r="I81" s="26"/>
      <c r="J81" s="26"/>
      <c r="K81" s="26"/>
      <c r="L81" s="26"/>
      <c r="M81" s="26"/>
      <c r="N81" s="26"/>
      <c r="O81" s="26"/>
      <c r="P81" s="44"/>
      <c r="Q81" s="26"/>
      <c r="R81" s="27"/>
      <c r="S81" s="26"/>
    </row>
    <row r="82" spans="1:19" x14ac:dyDescent="0.25">
      <c r="A82" s="26"/>
      <c r="B82" s="25" t="str">
        <f>IF($A82="","",IFERROR(INDEX('Inventario General'!$C$5:$C$304,MATCH($A82,'Inventario General'!$A$5:$A$304,0))&amp;"","No está en el inventario"))</f>
        <v/>
      </c>
      <c r="C82" s="25" t="str">
        <f>IF($A82="","",IFERROR(INDEX('Inventario General'!$D$5:$D$304,MATCH($A82,'Inventario General'!$A$5:$A$304,0))&amp;"","No está en el inventario"))</f>
        <v/>
      </c>
      <c r="D82" s="25" t="str">
        <f>IF($A82="","",IFERROR(INDEX('Inventario General'!$I$5:$I$304,MATCH($A82,'Inventario General'!$A$5:$A$304,0))&amp;"","No está en el inventario"))</f>
        <v/>
      </c>
      <c r="E82" s="26"/>
      <c r="F82" s="29"/>
      <c r="G82" s="26"/>
      <c r="H82" s="26"/>
      <c r="I82" s="26"/>
      <c r="J82" s="26"/>
      <c r="K82" s="26"/>
      <c r="L82" s="26"/>
      <c r="M82" s="26"/>
      <c r="N82" s="26"/>
      <c r="O82" s="26"/>
      <c r="P82" s="44"/>
      <c r="Q82" s="26"/>
      <c r="R82" s="27"/>
      <c r="S82" s="26"/>
    </row>
    <row r="83" spans="1:19" x14ac:dyDescent="0.25">
      <c r="A83" s="26"/>
      <c r="B83" s="25" t="str">
        <f>IF($A83="","",IFERROR(INDEX('Inventario General'!$C$5:$C$304,MATCH($A83,'Inventario General'!$A$5:$A$304,0))&amp;"","No está en el inventario"))</f>
        <v/>
      </c>
      <c r="C83" s="25" t="str">
        <f>IF($A83="","",IFERROR(INDEX('Inventario General'!$D$5:$D$304,MATCH($A83,'Inventario General'!$A$5:$A$304,0))&amp;"","No está en el inventario"))</f>
        <v/>
      </c>
      <c r="D83" s="25" t="str">
        <f>IF($A83="","",IFERROR(INDEX('Inventario General'!$I$5:$I$304,MATCH($A83,'Inventario General'!$A$5:$A$304,0))&amp;"","No está en el inventario"))</f>
        <v/>
      </c>
      <c r="E83" s="26"/>
      <c r="F83" s="29"/>
      <c r="G83" s="26"/>
      <c r="H83" s="26"/>
      <c r="I83" s="26"/>
      <c r="J83" s="26"/>
      <c r="K83" s="26"/>
      <c r="L83" s="26"/>
      <c r="M83" s="26"/>
      <c r="N83" s="26"/>
      <c r="O83" s="26"/>
      <c r="P83" s="44"/>
      <c r="Q83" s="26"/>
      <c r="R83" s="27"/>
      <c r="S83" s="26"/>
    </row>
    <row r="84" spans="1:19" x14ac:dyDescent="0.25">
      <c r="A84" s="26"/>
      <c r="B84" s="25" t="str">
        <f>IF($A84="","",IFERROR(INDEX('Inventario General'!$C$5:$C$304,MATCH($A84,'Inventario General'!$A$5:$A$304,0))&amp;"","No está en el inventario"))</f>
        <v/>
      </c>
      <c r="C84" s="25" t="str">
        <f>IF($A84="","",IFERROR(INDEX('Inventario General'!$D$5:$D$304,MATCH($A84,'Inventario General'!$A$5:$A$304,0))&amp;"","No está en el inventario"))</f>
        <v/>
      </c>
      <c r="D84" s="25" t="str">
        <f>IF($A84="","",IFERROR(INDEX('Inventario General'!$I$5:$I$304,MATCH($A84,'Inventario General'!$A$5:$A$304,0))&amp;"","No está en el inventario"))</f>
        <v/>
      </c>
      <c r="E84" s="26"/>
      <c r="F84" s="29"/>
      <c r="G84" s="26"/>
      <c r="H84" s="26"/>
      <c r="I84" s="26"/>
      <c r="J84" s="26"/>
      <c r="K84" s="26"/>
      <c r="L84" s="26"/>
      <c r="M84" s="26"/>
      <c r="N84" s="26"/>
      <c r="O84" s="26"/>
      <c r="P84" s="44"/>
      <c r="Q84" s="26"/>
      <c r="R84" s="27"/>
      <c r="S84" s="26"/>
    </row>
    <row r="85" spans="1:19" x14ac:dyDescent="0.25">
      <c r="A85" s="26"/>
      <c r="B85" s="25" t="str">
        <f>IF($A85="","",IFERROR(INDEX('Inventario General'!$C$5:$C$304,MATCH($A85,'Inventario General'!$A$5:$A$304,0))&amp;"","No está en el inventario"))</f>
        <v/>
      </c>
      <c r="C85" s="25" t="str">
        <f>IF($A85="","",IFERROR(INDEX('Inventario General'!$D$5:$D$304,MATCH($A85,'Inventario General'!$A$5:$A$304,0))&amp;"","No está en el inventario"))</f>
        <v/>
      </c>
      <c r="D85" s="25" t="str">
        <f>IF($A85="","",IFERROR(INDEX('Inventario General'!$I$5:$I$304,MATCH($A85,'Inventario General'!$A$5:$A$304,0))&amp;"","No está en el inventario"))</f>
        <v/>
      </c>
      <c r="E85" s="26"/>
      <c r="F85" s="29"/>
      <c r="G85" s="26"/>
      <c r="H85" s="26"/>
      <c r="I85" s="26"/>
      <c r="J85" s="26"/>
      <c r="K85" s="26"/>
      <c r="L85" s="26"/>
      <c r="M85" s="26"/>
      <c r="N85" s="26"/>
      <c r="O85" s="26"/>
      <c r="P85" s="44"/>
      <c r="Q85" s="26"/>
      <c r="R85" s="27"/>
      <c r="S85" s="26"/>
    </row>
    <row r="86" spans="1:19" x14ac:dyDescent="0.25">
      <c r="A86" s="26"/>
      <c r="B86" s="25" t="str">
        <f>IF($A86="","",IFERROR(INDEX('Inventario General'!$C$5:$C$304,MATCH($A86,'Inventario General'!$A$5:$A$304,0))&amp;"","No está en el inventario"))</f>
        <v/>
      </c>
      <c r="C86" s="25" t="str">
        <f>IF($A86="","",IFERROR(INDEX('Inventario General'!$D$5:$D$304,MATCH($A86,'Inventario General'!$A$5:$A$304,0))&amp;"","No está en el inventario"))</f>
        <v/>
      </c>
      <c r="D86" s="25" t="str">
        <f>IF($A86="","",IFERROR(INDEX('Inventario General'!$I$5:$I$304,MATCH($A86,'Inventario General'!$A$5:$A$304,0))&amp;"","No está en el inventario"))</f>
        <v/>
      </c>
      <c r="E86" s="26"/>
      <c r="F86" s="29"/>
      <c r="G86" s="26"/>
      <c r="H86" s="26"/>
      <c r="I86" s="26"/>
      <c r="J86" s="26"/>
      <c r="K86" s="26"/>
      <c r="L86" s="26"/>
      <c r="M86" s="26"/>
      <c r="N86" s="26"/>
      <c r="O86" s="26"/>
      <c r="P86" s="44"/>
      <c r="Q86" s="26"/>
      <c r="R86" s="27"/>
      <c r="S86" s="26"/>
    </row>
    <row r="87" spans="1:19" x14ac:dyDescent="0.25">
      <c r="A87" s="26"/>
      <c r="B87" s="25" t="str">
        <f>IF($A87="","",IFERROR(INDEX('Inventario General'!$C$5:$C$304,MATCH($A87,'Inventario General'!$A$5:$A$304,0))&amp;"","No está en el inventario"))</f>
        <v/>
      </c>
      <c r="C87" s="25" t="str">
        <f>IF($A87="","",IFERROR(INDEX('Inventario General'!$D$5:$D$304,MATCH($A87,'Inventario General'!$A$5:$A$304,0))&amp;"","No está en el inventario"))</f>
        <v/>
      </c>
      <c r="D87" s="25" t="str">
        <f>IF($A87="","",IFERROR(INDEX('Inventario General'!$I$5:$I$304,MATCH($A87,'Inventario General'!$A$5:$A$304,0))&amp;"","No está en el inventario"))</f>
        <v/>
      </c>
      <c r="E87" s="26"/>
      <c r="F87" s="29"/>
      <c r="G87" s="26"/>
      <c r="H87" s="26"/>
      <c r="I87" s="26"/>
      <c r="J87" s="26"/>
      <c r="K87" s="26"/>
      <c r="L87" s="26"/>
      <c r="M87" s="26"/>
      <c r="N87" s="26"/>
      <c r="O87" s="26"/>
      <c r="P87" s="44"/>
      <c r="Q87" s="26"/>
      <c r="R87" s="27"/>
      <c r="S87" s="26"/>
    </row>
    <row r="88" spans="1:19" x14ac:dyDescent="0.25">
      <c r="A88" s="26"/>
      <c r="B88" s="25" t="str">
        <f>IF($A88="","",IFERROR(INDEX('Inventario General'!$C$5:$C$304,MATCH($A88,'Inventario General'!$A$5:$A$304,0))&amp;"","No está en el inventario"))</f>
        <v/>
      </c>
      <c r="C88" s="25" t="str">
        <f>IF($A88="","",IFERROR(INDEX('Inventario General'!$D$5:$D$304,MATCH($A88,'Inventario General'!$A$5:$A$304,0))&amp;"","No está en el inventario"))</f>
        <v/>
      </c>
      <c r="D88" s="25" t="str">
        <f>IF($A88="","",IFERROR(INDEX('Inventario General'!$I$5:$I$304,MATCH($A88,'Inventario General'!$A$5:$A$304,0))&amp;"","No está en el inventario"))</f>
        <v/>
      </c>
      <c r="E88" s="26"/>
      <c r="F88" s="29"/>
      <c r="G88" s="26"/>
      <c r="H88" s="26"/>
      <c r="I88" s="26"/>
      <c r="J88" s="26"/>
      <c r="K88" s="26"/>
      <c r="L88" s="26"/>
      <c r="M88" s="26"/>
      <c r="N88" s="26"/>
      <c r="O88" s="26"/>
      <c r="P88" s="44"/>
      <c r="Q88" s="26"/>
      <c r="R88" s="27"/>
      <c r="S88" s="26"/>
    </row>
    <row r="89" spans="1:19" x14ac:dyDescent="0.25">
      <c r="A89" s="26"/>
      <c r="B89" s="25" t="str">
        <f>IF($A89="","",IFERROR(INDEX('Inventario General'!$C$5:$C$304,MATCH($A89,'Inventario General'!$A$5:$A$304,0))&amp;"","No está en el inventario"))</f>
        <v/>
      </c>
      <c r="C89" s="25" t="str">
        <f>IF($A89="","",IFERROR(INDEX('Inventario General'!$D$5:$D$304,MATCH($A89,'Inventario General'!$A$5:$A$304,0))&amp;"","No está en el inventario"))</f>
        <v/>
      </c>
      <c r="D89" s="25" t="str">
        <f>IF($A89="","",IFERROR(INDEX('Inventario General'!$I$5:$I$304,MATCH($A89,'Inventario General'!$A$5:$A$304,0))&amp;"","No está en el inventario"))</f>
        <v/>
      </c>
      <c r="E89" s="26"/>
      <c r="F89" s="29"/>
      <c r="G89" s="26"/>
      <c r="H89" s="26"/>
      <c r="I89" s="26"/>
      <c r="J89" s="26"/>
      <c r="K89" s="26"/>
      <c r="L89" s="26"/>
      <c r="M89" s="26"/>
      <c r="N89" s="26"/>
      <c r="O89" s="26"/>
      <c r="P89" s="44"/>
      <c r="Q89" s="26"/>
      <c r="R89" s="27"/>
      <c r="S89" s="26"/>
    </row>
    <row r="90" spans="1:19" x14ac:dyDescent="0.25">
      <c r="A90" s="26"/>
      <c r="B90" s="25" t="str">
        <f>IF($A90="","",IFERROR(INDEX('Inventario General'!$C$5:$C$304,MATCH($A90,'Inventario General'!$A$5:$A$304,0))&amp;"","No está en el inventario"))</f>
        <v/>
      </c>
      <c r="C90" s="25" t="str">
        <f>IF($A90="","",IFERROR(INDEX('Inventario General'!$D$5:$D$304,MATCH($A90,'Inventario General'!$A$5:$A$304,0))&amp;"","No está en el inventario"))</f>
        <v/>
      </c>
      <c r="D90" s="25" t="str">
        <f>IF($A90="","",IFERROR(INDEX('Inventario General'!$I$5:$I$304,MATCH($A90,'Inventario General'!$A$5:$A$304,0))&amp;"","No está en el inventario"))</f>
        <v/>
      </c>
      <c r="E90" s="26"/>
      <c r="F90" s="29"/>
      <c r="G90" s="26"/>
      <c r="H90" s="26"/>
      <c r="I90" s="26"/>
      <c r="J90" s="26"/>
      <c r="K90" s="26"/>
      <c r="L90" s="26"/>
      <c r="M90" s="26"/>
      <c r="N90" s="26"/>
      <c r="O90" s="26"/>
      <c r="P90" s="44"/>
      <c r="Q90" s="26"/>
      <c r="R90" s="27"/>
      <c r="S90" s="26"/>
    </row>
    <row r="91" spans="1:19" x14ac:dyDescent="0.25">
      <c r="A91" s="26"/>
      <c r="B91" s="25" t="str">
        <f>IF($A91="","",IFERROR(INDEX('Inventario General'!$C$5:$C$304,MATCH($A91,'Inventario General'!$A$5:$A$304,0))&amp;"","No está en el inventario"))</f>
        <v/>
      </c>
      <c r="C91" s="25" t="str">
        <f>IF($A91="","",IFERROR(INDEX('Inventario General'!$D$5:$D$304,MATCH($A91,'Inventario General'!$A$5:$A$304,0))&amp;"","No está en el inventario"))</f>
        <v/>
      </c>
      <c r="D91" s="25" t="str">
        <f>IF($A91="","",IFERROR(INDEX('Inventario General'!$I$5:$I$304,MATCH($A91,'Inventario General'!$A$5:$A$304,0))&amp;"","No está en el inventario"))</f>
        <v/>
      </c>
      <c r="E91" s="26"/>
      <c r="F91" s="29"/>
      <c r="G91" s="26"/>
      <c r="H91" s="26"/>
      <c r="I91" s="26"/>
      <c r="J91" s="26"/>
      <c r="K91" s="26"/>
      <c r="L91" s="26"/>
      <c r="M91" s="26"/>
      <c r="N91" s="26"/>
      <c r="O91" s="26"/>
      <c r="P91" s="44"/>
      <c r="Q91" s="26"/>
      <c r="R91" s="27"/>
      <c r="S91" s="26"/>
    </row>
    <row r="92" spans="1:19" x14ac:dyDescent="0.25">
      <c r="A92" s="26"/>
      <c r="B92" s="25" t="str">
        <f>IF($A92="","",IFERROR(INDEX('Inventario General'!$C$5:$C$304,MATCH($A92,'Inventario General'!$A$5:$A$304,0))&amp;"","No está en el inventario"))</f>
        <v/>
      </c>
      <c r="C92" s="25" t="str">
        <f>IF($A92="","",IFERROR(INDEX('Inventario General'!$D$5:$D$304,MATCH($A92,'Inventario General'!$A$5:$A$304,0))&amp;"","No está en el inventario"))</f>
        <v/>
      </c>
      <c r="D92" s="25" t="str">
        <f>IF($A92="","",IFERROR(INDEX('Inventario General'!$I$5:$I$304,MATCH($A92,'Inventario General'!$A$5:$A$304,0))&amp;"","No está en el inventario"))</f>
        <v/>
      </c>
      <c r="E92" s="26"/>
      <c r="F92" s="29"/>
      <c r="G92" s="26"/>
      <c r="H92" s="26"/>
      <c r="I92" s="26"/>
      <c r="J92" s="26"/>
      <c r="K92" s="26"/>
      <c r="L92" s="26"/>
      <c r="M92" s="26"/>
      <c r="N92" s="26"/>
      <c r="O92" s="26"/>
      <c r="P92" s="44"/>
      <c r="Q92" s="26"/>
      <c r="R92" s="27"/>
      <c r="S92" s="26"/>
    </row>
    <row r="93" spans="1:19" x14ac:dyDescent="0.25">
      <c r="A93" s="26"/>
      <c r="B93" s="25" t="str">
        <f>IF($A93="","",IFERROR(INDEX('Inventario General'!$C$5:$C$304,MATCH($A93,'Inventario General'!$A$5:$A$304,0))&amp;"","No está en el inventario"))</f>
        <v/>
      </c>
      <c r="C93" s="25" t="str">
        <f>IF($A93="","",IFERROR(INDEX('Inventario General'!$D$5:$D$304,MATCH($A93,'Inventario General'!$A$5:$A$304,0))&amp;"","No está en el inventario"))</f>
        <v/>
      </c>
      <c r="D93" s="25" t="str">
        <f>IF($A93="","",IFERROR(INDEX('Inventario General'!$I$5:$I$304,MATCH($A93,'Inventario General'!$A$5:$A$304,0))&amp;"","No está en el inventario"))</f>
        <v/>
      </c>
      <c r="E93" s="26"/>
      <c r="F93" s="29"/>
      <c r="G93" s="26"/>
      <c r="H93" s="26"/>
      <c r="I93" s="26"/>
      <c r="J93" s="26"/>
      <c r="K93" s="26"/>
      <c r="L93" s="26"/>
      <c r="M93" s="26"/>
      <c r="N93" s="26"/>
      <c r="O93" s="26"/>
      <c r="P93" s="44"/>
      <c r="Q93" s="26"/>
      <c r="R93" s="27"/>
      <c r="S93" s="26"/>
    </row>
    <row r="94" spans="1:19" x14ac:dyDescent="0.25">
      <c r="A94" s="26"/>
      <c r="B94" s="25" t="str">
        <f>IF($A94="","",IFERROR(INDEX('Inventario General'!$C$5:$C$304,MATCH($A94,'Inventario General'!$A$5:$A$304,0))&amp;"","No está en el inventario"))</f>
        <v/>
      </c>
      <c r="C94" s="25" t="str">
        <f>IF($A94="","",IFERROR(INDEX('Inventario General'!$D$5:$D$304,MATCH($A94,'Inventario General'!$A$5:$A$304,0))&amp;"","No está en el inventario"))</f>
        <v/>
      </c>
      <c r="D94" s="25" t="str">
        <f>IF($A94="","",IFERROR(INDEX('Inventario General'!$I$5:$I$304,MATCH($A94,'Inventario General'!$A$5:$A$304,0))&amp;"","No está en el inventario"))</f>
        <v/>
      </c>
      <c r="E94" s="26"/>
      <c r="F94" s="29"/>
      <c r="G94" s="26"/>
      <c r="H94" s="26"/>
      <c r="I94" s="26"/>
      <c r="J94" s="26"/>
      <c r="K94" s="26"/>
      <c r="L94" s="26"/>
      <c r="M94" s="26"/>
      <c r="N94" s="26"/>
      <c r="O94" s="26"/>
      <c r="P94" s="44"/>
      <c r="Q94" s="26"/>
      <c r="R94" s="27"/>
      <c r="S94" s="26"/>
    </row>
    <row r="95" spans="1:19" x14ac:dyDescent="0.25">
      <c r="A95" s="26"/>
      <c r="B95" s="25" t="str">
        <f>IF($A95="","",IFERROR(INDEX('Inventario General'!$C$5:$C$304,MATCH($A95,'Inventario General'!$A$5:$A$304,0))&amp;"","No está en el inventario"))</f>
        <v/>
      </c>
      <c r="C95" s="25" t="str">
        <f>IF($A95="","",IFERROR(INDEX('Inventario General'!$D$5:$D$304,MATCH($A95,'Inventario General'!$A$5:$A$304,0))&amp;"","No está en el inventario"))</f>
        <v/>
      </c>
      <c r="D95" s="25" t="str">
        <f>IF($A95="","",IFERROR(INDEX('Inventario General'!$I$5:$I$304,MATCH($A95,'Inventario General'!$A$5:$A$304,0))&amp;"","No está en el inventario"))</f>
        <v/>
      </c>
      <c r="E95" s="26"/>
      <c r="F95" s="29"/>
      <c r="G95" s="26"/>
      <c r="H95" s="26"/>
      <c r="I95" s="26"/>
      <c r="J95" s="26"/>
      <c r="K95" s="26"/>
      <c r="L95" s="26"/>
      <c r="M95" s="26"/>
      <c r="N95" s="26"/>
      <c r="O95" s="26"/>
      <c r="P95" s="44"/>
      <c r="Q95" s="26"/>
      <c r="R95" s="27"/>
      <c r="S95" s="26"/>
    </row>
    <row r="96" spans="1:19" x14ac:dyDescent="0.25">
      <c r="A96" s="26"/>
      <c r="B96" s="25" t="str">
        <f>IF($A96="","",IFERROR(INDEX('Inventario General'!$C$5:$C$304,MATCH($A96,'Inventario General'!$A$5:$A$304,0))&amp;"","No está en el inventario"))</f>
        <v/>
      </c>
      <c r="C96" s="25" t="str">
        <f>IF($A96="","",IFERROR(INDEX('Inventario General'!$D$5:$D$304,MATCH($A96,'Inventario General'!$A$5:$A$304,0))&amp;"","No está en el inventario"))</f>
        <v/>
      </c>
      <c r="D96" s="25" t="str">
        <f>IF($A96="","",IFERROR(INDEX('Inventario General'!$I$5:$I$304,MATCH($A96,'Inventario General'!$A$5:$A$304,0))&amp;"","No está en el inventario"))</f>
        <v/>
      </c>
      <c r="E96" s="26"/>
      <c r="F96" s="29"/>
      <c r="G96" s="26"/>
      <c r="H96" s="26"/>
      <c r="I96" s="26"/>
      <c r="J96" s="26"/>
      <c r="K96" s="26"/>
      <c r="L96" s="26"/>
      <c r="M96" s="26"/>
      <c r="N96" s="26"/>
      <c r="O96" s="26"/>
      <c r="P96" s="44"/>
      <c r="Q96" s="26"/>
      <c r="R96" s="27"/>
      <c r="S96" s="26"/>
    </row>
    <row r="97" spans="1:19" x14ac:dyDescent="0.25">
      <c r="A97" s="26"/>
      <c r="B97" s="25" t="str">
        <f>IF($A97="","",IFERROR(INDEX('Inventario General'!$C$5:$C$304,MATCH($A97,'Inventario General'!$A$5:$A$304,0))&amp;"","No está en el inventario"))</f>
        <v/>
      </c>
      <c r="C97" s="25" t="str">
        <f>IF($A97="","",IFERROR(INDEX('Inventario General'!$D$5:$D$304,MATCH($A97,'Inventario General'!$A$5:$A$304,0))&amp;"","No está en el inventario"))</f>
        <v/>
      </c>
      <c r="D97" s="25" t="str">
        <f>IF($A97="","",IFERROR(INDEX('Inventario General'!$I$5:$I$304,MATCH($A97,'Inventario General'!$A$5:$A$304,0))&amp;"","No está en el inventario"))</f>
        <v/>
      </c>
      <c r="E97" s="26"/>
      <c r="F97" s="29"/>
      <c r="G97" s="26"/>
      <c r="H97" s="26"/>
      <c r="I97" s="26"/>
      <c r="J97" s="26"/>
      <c r="K97" s="26"/>
      <c r="L97" s="26"/>
      <c r="M97" s="26"/>
      <c r="N97" s="26"/>
      <c r="O97" s="26"/>
      <c r="P97" s="44"/>
      <c r="Q97" s="26"/>
      <c r="R97" s="27"/>
      <c r="S97" s="26"/>
    </row>
    <row r="98" spans="1:19" x14ac:dyDescent="0.25">
      <c r="A98" s="26"/>
      <c r="B98" s="25" t="str">
        <f>IF($A98="","",IFERROR(INDEX('Inventario General'!$C$5:$C$304,MATCH($A98,'Inventario General'!$A$5:$A$304,0))&amp;"","No está en el inventario"))</f>
        <v/>
      </c>
      <c r="C98" s="25" t="str">
        <f>IF($A98="","",IFERROR(INDEX('Inventario General'!$D$5:$D$304,MATCH($A98,'Inventario General'!$A$5:$A$304,0))&amp;"","No está en el inventario"))</f>
        <v/>
      </c>
      <c r="D98" s="25" t="str">
        <f>IF($A98="","",IFERROR(INDEX('Inventario General'!$I$5:$I$304,MATCH($A98,'Inventario General'!$A$5:$A$304,0))&amp;"","No está en el inventario"))</f>
        <v/>
      </c>
      <c r="E98" s="26"/>
      <c r="F98" s="29"/>
      <c r="G98" s="26"/>
      <c r="H98" s="26"/>
      <c r="I98" s="26"/>
      <c r="J98" s="26"/>
      <c r="K98" s="26"/>
      <c r="L98" s="26"/>
      <c r="M98" s="26"/>
      <c r="N98" s="26"/>
      <c r="O98" s="26"/>
      <c r="P98" s="44"/>
      <c r="Q98" s="26"/>
      <c r="R98" s="27"/>
      <c r="S98" s="26"/>
    </row>
    <row r="99" spans="1:19" x14ac:dyDescent="0.25">
      <c r="A99" s="26"/>
      <c r="B99" s="25" t="str">
        <f>IF($A99="","",IFERROR(INDEX('Inventario General'!$C$5:$C$304,MATCH($A99,'Inventario General'!$A$5:$A$304,0))&amp;"","No está en el inventario"))</f>
        <v/>
      </c>
      <c r="C99" s="25" t="str">
        <f>IF($A99="","",IFERROR(INDEX('Inventario General'!$D$5:$D$304,MATCH($A99,'Inventario General'!$A$5:$A$304,0))&amp;"","No está en el inventario"))</f>
        <v/>
      </c>
      <c r="D99" s="25" t="str">
        <f>IF($A99="","",IFERROR(INDEX('Inventario General'!$I$5:$I$304,MATCH($A99,'Inventario General'!$A$5:$A$304,0))&amp;"","No está en el inventario"))</f>
        <v/>
      </c>
      <c r="E99" s="26"/>
      <c r="F99" s="29"/>
      <c r="G99" s="26"/>
      <c r="H99" s="26"/>
      <c r="I99" s="26"/>
      <c r="J99" s="26"/>
      <c r="K99" s="26"/>
      <c r="L99" s="26"/>
      <c r="M99" s="26"/>
      <c r="N99" s="26"/>
      <c r="O99" s="26"/>
      <c r="P99" s="44"/>
      <c r="Q99" s="26"/>
      <c r="R99" s="27"/>
      <c r="S99" s="26"/>
    </row>
    <row r="100" spans="1:19" x14ac:dyDescent="0.25">
      <c r="A100" s="26"/>
      <c r="B100" s="25" t="str">
        <f>IF($A100="","",IFERROR(INDEX('Inventario General'!$C$5:$C$304,MATCH($A100,'Inventario General'!$A$5:$A$304,0))&amp;"","No está en el inventario"))</f>
        <v/>
      </c>
      <c r="C100" s="25" t="str">
        <f>IF($A100="","",IFERROR(INDEX('Inventario General'!$D$5:$D$304,MATCH($A100,'Inventario General'!$A$5:$A$304,0))&amp;"","No está en el inventario"))</f>
        <v/>
      </c>
      <c r="D100" s="25" t="str">
        <f>IF($A100="","",IFERROR(INDEX('Inventario General'!$I$5:$I$304,MATCH($A100,'Inventario General'!$A$5:$A$304,0))&amp;"","No está en el inventario"))</f>
        <v/>
      </c>
      <c r="E100" s="26"/>
      <c r="F100" s="29"/>
      <c r="G100" s="26"/>
      <c r="H100" s="26"/>
      <c r="I100" s="26"/>
      <c r="J100" s="26"/>
      <c r="K100" s="26"/>
      <c r="L100" s="26"/>
      <c r="M100" s="26"/>
      <c r="N100" s="26"/>
      <c r="O100" s="26"/>
      <c r="P100" s="44"/>
      <c r="Q100" s="26"/>
      <c r="R100" s="27"/>
      <c r="S100" s="26"/>
    </row>
    <row r="101" spans="1:19" x14ac:dyDescent="0.25">
      <c r="A101" s="26"/>
      <c r="B101" s="25" t="str">
        <f>IF($A101="","",IFERROR(INDEX('Inventario General'!$C$5:$C$304,MATCH($A101,'Inventario General'!$A$5:$A$304,0))&amp;"","No está en el inventario"))</f>
        <v/>
      </c>
      <c r="C101" s="25" t="str">
        <f>IF($A101="","",IFERROR(INDEX('Inventario General'!$D$5:$D$304,MATCH($A101,'Inventario General'!$A$5:$A$304,0))&amp;"","No está en el inventario"))</f>
        <v/>
      </c>
      <c r="D101" s="25" t="str">
        <f>IF($A101="","",IFERROR(INDEX('Inventario General'!$I$5:$I$304,MATCH($A101,'Inventario General'!$A$5:$A$304,0))&amp;"","No está en el inventario"))</f>
        <v/>
      </c>
      <c r="E101" s="26"/>
      <c r="F101" s="29"/>
      <c r="G101" s="26"/>
      <c r="H101" s="26"/>
      <c r="I101" s="26"/>
      <c r="J101" s="26"/>
      <c r="K101" s="26"/>
      <c r="L101" s="26"/>
      <c r="M101" s="26"/>
      <c r="N101" s="26"/>
      <c r="O101" s="26"/>
      <c r="P101" s="44"/>
      <c r="Q101" s="26"/>
      <c r="R101" s="27"/>
      <c r="S101" s="26"/>
    </row>
    <row r="102" spans="1:19" x14ac:dyDescent="0.25">
      <c r="A102" s="26"/>
      <c r="B102" s="25" t="str">
        <f>IF($A102="","",IFERROR(INDEX('Inventario General'!$C$5:$C$304,MATCH($A102,'Inventario General'!$A$5:$A$304,0))&amp;"","No está en el inventario"))</f>
        <v/>
      </c>
      <c r="C102" s="25" t="str">
        <f>IF($A102="","",IFERROR(INDEX('Inventario General'!$D$5:$D$304,MATCH($A102,'Inventario General'!$A$5:$A$304,0))&amp;"","No está en el inventario"))</f>
        <v/>
      </c>
      <c r="D102" s="25" t="str">
        <f>IF($A102="","",IFERROR(INDEX('Inventario General'!$I$5:$I$304,MATCH($A102,'Inventario General'!$A$5:$A$304,0))&amp;"","No está en el inventario"))</f>
        <v/>
      </c>
      <c r="E102" s="26"/>
      <c r="F102" s="29"/>
      <c r="G102" s="26"/>
      <c r="H102" s="26"/>
      <c r="I102" s="26"/>
      <c r="J102" s="26"/>
      <c r="K102" s="26"/>
      <c r="L102" s="26"/>
      <c r="M102" s="26"/>
      <c r="N102" s="26"/>
      <c r="O102" s="26"/>
      <c r="P102" s="44"/>
      <c r="Q102" s="26"/>
      <c r="R102" s="27"/>
      <c r="S102" s="26"/>
    </row>
    <row r="103" spans="1:19" x14ac:dyDescent="0.25">
      <c r="A103" s="26"/>
      <c r="B103" s="25" t="str">
        <f>IF($A103="","",IFERROR(INDEX('Inventario General'!$C$5:$C$304,MATCH($A103,'Inventario General'!$A$5:$A$304,0))&amp;"","No está en el inventario"))</f>
        <v/>
      </c>
      <c r="C103" s="25" t="str">
        <f>IF($A103="","",IFERROR(INDEX('Inventario General'!$D$5:$D$304,MATCH($A103,'Inventario General'!$A$5:$A$304,0))&amp;"","No está en el inventario"))</f>
        <v/>
      </c>
      <c r="D103" s="25" t="str">
        <f>IF($A103="","",IFERROR(INDEX('Inventario General'!$I$5:$I$304,MATCH($A103,'Inventario General'!$A$5:$A$304,0))&amp;"","No está en el inventario"))</f>
        <v/>
      </c>
      <c r="E103" s="26"/>
      <c r="F103" s="29"/>
      <c r="G103" s="26"/>
      <c r="H103" s="26"/>
      <c r="I103" s="26"/>
      <c r="J103" s="26"/>
      <c r="K103" s="26"/>
      <c r="L103" s="26"/>
      <c r="M103" s="26"/>
      <c r="N103" s="26"/>
      <c r="O103" s="26"/>
      <c r="P103" s="44"/>
      <c r="Q103" s="26"/>
      <c r="R103" s="27"/>
      <c r="S103" s="26"/>
    </row>
    <row r="104" spans="1:19" x14ac:dyDescent="0.25">
      <c r="A104" s="26"/>
      <c r="B104" s="25" t="str">
        <f>IF($A104="","",IFERROR(INDEX('Inventario General'!$C$5:$C$304,MATCH($A104,'Inventario General'!$A$5:$A$304,0))&amp;"","No está en el inventario"))</f>
        <v/>
      </c>
      <c r="C104" s="25" t="str">
        <f>IF($A104="","",IFERROR(INDEX('Inventario General'!$D$5:$D$304,MATCH($A104,'Inventario General'!$A$5:$A$304,0))&amp;"","No está en el inventario"))</f>
        <v/>
      </c>
      <c r="D104" s="25" t="str">
        <f>IF($A104="","",IFERROR(INDEX('Inventario General'!$I$5:$I$304,MATCH($A104,'Inventario General'!$A$5:$A$304,0))&amp;"","No está en el inventario"))</f>
        <v/>
      </c>
      <c r="E104" s="26"/>
      <c r="F104" s="29"/>
      <c r="G104" s="26"/>
      <c r="H104" s="26"/>
      <c r="I104" s="26"/>
      <c r="J104" s="26"/>
      <c r="K104" s="26"/>
      <c r="L104" s="26"/>
      <c r="M104" s="26"/>
      <c r="N104" s="26"/>
      <c r="O104" s="26"/>
      <c r="P104" s="44"/>
      <c r="Q104" s="26"/>
      <c r="R104" s="27"/>
      <c r="S104" s="26"/>
    </row>
    <row r="105" spans="1:19" x14ac:dyDescent="0.25">
      <c r="A105" s="26"/>
      <c r="B105" s="25" t="str">
        <f>IF($A105="","",IFERROR(INDEX('Inventario General'!$C$5:$C$304,MATCH($A105,'Inventario General'!$A$5:$A$304,0))&amp;"","No está en el inventario"))</f>
        <v/>
      </c>
      <c r="C105" s="25" t="str">
        <f>IF($A105="","",IFERROR(INDEX('Inventario General'!$D$5:$D$304,MATCH($A105,'Inventario General'!$A$5:$A$304,0))&amp;"","No está en el inventario"))</f>
        <v/>
      </c>
      <c r="D105" s="25" t="str">
        <f>IF($A105="","",IFERROR(INDEX('Inventario General'!$I$5:$I$304,MATCH($A105,'Inventario General'!$A$5:$A$304,0))&amp;"","No está en el inventario"))</f>
        <v/>
      </c>
      <c r="E105" s="26"/>
      <c r="F105" s="29"/>
      <c r="G105" s="26"/>
      <c r="H105" s="26"/>
      <c r="I105" s="26"/>
      <c r="J105" s="26"/>
      <c r="K105" s="26"/>
      <c r="L105" s="26"/>
      <c r="M105" s="26"/>
      <c r="N105" s="26"/>
      <c r="O105" s="26"/>
      <c r="P105" s="44"/>
      <c r="Q105" s="26"/>
      <c r="R105" s="27"/>
      <c r="S105" s="26"/>
    </row>
    <row r="106" spans="1:19" x14ac:dyDescent="0.25">
      <c r="A106" s="26"/>
      <c r="B106" s="25" t="str">
        <f>IF($A106="","",IFERROR(INDEX('Inventario General'!$C$5:$C$304,MATCH($A106,'Inventario General'!$A$5:$A$304,0))&amp;"","No está en el inventario"))</f>
        <v/>
      </c>
      <c r="C106" s="25" t="str">
        <f>IF($A106="","",IFERROR(INDEX('Inventario General'!$D$5:$D$304,MATCH($A106,'Inventario General'!$A$5:$A$304,0))&amp;"","No está en el inventario"))</f>
        <v/>
      </c>
      <c r="D106" s="25" t="str">
        <f>IF($A106="","",IFERROR(INDEX('Inventario General'!$I$5:$I$304,MATCH($A106,'Inventario General'!$A$5:$A$304,0))&amp;"","No está en el inventario"))</f>
        <v/>
      </c>
      <c r="E106" s="26"/>
      <c r="F106" s="29"/>
      <c r="G106" s="26"/>
      <c r="H106" s="26"/>
      <c r="I106" s="26"/>
      <c r="J106" s="26"/>
      <c r="K106" s="26"/>
      <c r="L106" s="26"/>
      <c r="M106" s="26"/>
      <c r="N106" s="26"/>
      <c r="O106" s="26"/>
      <c r="P106" s="44"/>
      <c r="Q106" s="26"/>
      <c r="R106" s="27"/>
      <c r="S106" s="26"/>
    </row>
    <row r="107" spans="1:19" x14ac:dyDescent="0.25">
      <c r="A107" s="26"/>
      <c r="B107" s="25" t="str">
        <f>IF($A107="","",IFERROR(INDEX('Inventario General'!$C$5:$C$304,MATCH($A107,'Inventario General'!$A$5:$A$304,0))&amp;"","No está en el inventario"))</f>
        <v/>
      </c>
      <c r="C107" s="25" t="str">
        <f>IF($A107="","",IFERROR(INDEX('Inventario General'!$D$5:$D$304,MATCH($A107,'Inventario General'!$A$5:$A$304,0))&amp;"","No está en el inventario"))</f>
        <v/>
      </c>
      <c r="D107" s="25" t="str">
        <f>IF($A107="","",IFERROR(INDEX('Inventario General'!$I$5:$I$304,MATCH($A107,'Inventario General'!$A$5:$A$304,0))&amp;"","No está en el inventario"))</f>
        <v/>
      </c>
      <c r="E107" s="26"/>
      <c r="F107" s="29"/>
      <c r="G107" s="26"/>
      <c r="H107" s="26"/>
      <c r="I107" s="26"/>
      <c r="J107" s="26"/>
      <c r="K107" s="26"/>
      <c r="L107" s="26"/>
      <c r="M107" s="26"/>
      <c r="N107" s="26"/>
      <c r="O107" s="26"/>
      <c r="P107" s="44"/>
      <c r="Q107" s="26"/>
      <c r="R107" s="27"/>
      <c r="S107" s="26"/>
    </row>
    <row r="108" spans="1:19" x14ac:dyDescent="0.25">
      <c r="A108" s="26"/>
      <c r="B108" s="25" t="str">
        <f>IF($A108="","",IFERROR(INDEX('Inventario General'!$C$5:$C$304,MATCH($A108,'Inventario General'!$A$5:$A$304,0))&amp;"","No está en el inventario"))</f>
        <v/>
      </c>
      <c r="C108" s="25" t="str">
        <f>IF($A108="","",IFERROR(INDEX('Inventario General'!$D$5:$D$304,MATCH($A108,'Inventario General'!$A$5:$A$304,0))&amp;"","No está en el inventario"))</f>
        <v/>
      </c>
      <c r="D108" s="25" t="str">
        <f>IF($A108="","",IFERROR(INDEX('Inventario General'!$I$5:$I$304,MATCH($A108,'Inventario General'!$A$5:$A$304,0))&amp;"","No está en el inventario"))</f>
        <v/>
      </c>
      <c r="E108" s="26"/>
      <c r="F108" s="29"/>
      <c r="G108" s="26"/>
      <c r="H108" s="26"/>
      <c r="I108" s="26"/>
      <c r="J108" s="26"/>
      <c r="K108" s="26"/>
      <c r="L108" s="26"/>
      <c r="M108" s="26"/>
      <c r="N108" s="26"/>
      <c r="O108" s="26"/>
      <c r="P108" s="44"/>
      <c r="Q108" s="26"/>
      <c r="R108" s="27"/>
      <c r="S108" s="26"/>
    </row>
    <row r="109" spans="1:19" x14ac:dyDescent="0.25">
      <c r="A109" s="26"/>
      <c r="B109" s="25" t="str">
        <f>IF($A109="","",IFERROR(INDEX('Inventario General'!$C$5:$C$304,MATCH($A109,'Inventario General'!$A$5:$A$304,0))&amp;"","No está en el inventario"))</f>
        <v/>
      </c>
      <c r="C109" s="25" t="str">
        <f>IF($A109="","",IFERROR(INDEX('Inventario General'!$D$5:$D$304,MATCH($A109,'Inventario General'!$A$5:$A$304,0))&amp;"","No está en el inventario"))</f>
        <v/>
      </c>
      <c r="D109" s="25" t="str">
        <f>IF($A109="","",IFERROR(INDEX('Inventario General'!$I$5:$I$304,MATCH($A109,'Inventario General'!$A$5:$A$304,0))&amp;"","No está en el inventario"))</f>
        <v/>
      </c>
      <c r="E109" s="26"/>
      <c r="F109" s="29"/>
      <c r="G109" s="26"/>
      <c r="H109" s="26"/>
      <c r="I109" s="26"/>
      <c r="J109" s="26"/>
      <c r="K109" s="26"/>
      <c r="L109" s="26"/>
      <c r="M109" s="26"/>
      <c r="N109" s="26"/>
      <c r="O109" s="26"/>
      <c r="P109" s="44"/>
      <c r="Q109" s="26"/>
      <c r="R109" s="27"/>
      <c r="S109" s="26"/>
    </row>
    <row r="110" spans="1:19" x14ac:dyDescent="0.25">
      <c r="A110" s="26"/>
      <c r="B110" s="25" t="str">
        <f>IF($A110="","",IFERROR(INDEX('Inventario General'!$C$5:$C$304,MATCH($A110,'Inventario General'!$A$5:$A$304,0))&amp;"","No está en el inventario"))</f>
        <v/>
      </c>
      <c r="C110" s="25" t="str">
        <f>IF($A110="","",IFERROR(INDEX('Inventario General'!$D$5:$D$304,MATCH($A110,'Inventario General'!$A$5:$A$304,0))&amp;"","No está en el inventario"))</f>
        <v/>
      </c>
      <c r="D110" s="25" t="str">
        <f>IF($A110="","",IFERROR(INDEX('Inventario General'!$I$5:$I$304,MATCH($A110,'Inventario General'!$A$5:$A$304,0))&amp;"","No está en el inventario"))</f>
        <v/>
      </c>
      <c r="E110" s="26"/>
      <c r="F110" s="29"/>
      <c r="G110" s="26"/>
      <c r="H110" s="26"/>
      <c r="I110" s="26"/>
      <c r="J110" s="26"/>
      <c r="K110" s="26"/>
      <c r="L110" s="26"/>
      <c r="M110" s="26"/>
      <c r="N110" s="26"/>
      <c r="O110" s="26"/>
      <c r="P110" s="44"/>
      <c r="Q110" s="26"/>
      <c r="R110" s="27"/>
      <c r="S110" s="26"/>
    </row>
    <row r="111" spans="1:19" x14ac:dyDescent="0.25">
      <c r="A111" s="26"/>
      <c r="B111" s="25" t="str">
        <f>IF($A111="","",IFERROR(INDEX('Inventario General'!$C$5:$C$304,MATCH($A111,'Inventario General'!$A$5:$A$304,0))&amp;"","No está en el inventario"))</f>
        <v/>
      </c>
      <c r="C111" s="25" t="str">
        <f>IF($A111="","",IFERROR(INDEX('Inventario General'!$D$5:$D$304,MATCH($A111,'Inventario General'!$A$5:$A$304,0))&amp;"","No está en el inventario"))</f>
        <v/>
      </c>
      <c r="D111" s="25" t="str">
        <f>IF($A111="","",IFERROR(INDEX('Inventario General'!$I$5:$I$304,MATCH($A111,'Inventario General'!$A$5:$A$304,0))&amp;"","No está en el inventario"))</f>
        <v/>
      </c>
      <c r="E111" s="26"/>
      <c r="F111" s="29"/>
      <c r="G111" s="26"/>
      <c r="H111" s="26"/>
      <c r="I111" s="26"/>
      <c r="J111" s="26"/>
      <c r="K111" s="26"/>
      <c r="L111" s="26"/>
      <c r="M111" s="26"/>
      <c r="N111" s="26"/>
      <c r="O111" s="26"/>
      <c r="P111" s="44"/>
      <c r="Q111" s="26"/>
      <c r="R111" s="27"/>
      <c r="S111" s="26"/>
    </row>
    <row r="112" spans="1:19" x14ac:dyDescent="0.25">
      <c r="A112" s="26"/>
      <c r="B112" s="25" t="str">
        <f>IF($A112="","",IFERROR(INDEX('Inventario General'!$C$5:$C$304,MATCH($A112,'Inventario General'!$A$5:$A$304,0))&amp;"","No está en el inventario"))</f>
        <v/>
      </c>
      <c r="C112" s="25" t="str">
        <f>IF($A112="","",IFERROR(INDEX('Inventario General'!$D$5:$D$304,MATCH($A112,'Inventario General'!$A$5:$A$304,0))&amp;"","No está en el inventario"))</f>
        <v/>
      </c>
      <c r="D112" s="25" t="str">
        <f>IF($A112="","",IFERROR(INDEX('Inventario General'!$I$5:$I$304,MATCH($A112,'Inventario General'!$A$5:$A$304,0))&amp;"","No está en el inventario"))</f>
        <v/>
      </c>
      <c r="E112" s="26"/>
      <c r="F112" s="29"/>
      <c r="G112" s="26"/>
      <c r="H112" s="26"/>
      <c r="I112" s="26"/>
      <c r="J112" s="26"/>
      <c r="K112" s="26"/>
      <c r="L112" s="26"/>
      <c r="M112" s="26"/>
      <c r="N112" s="26"/>
      <c r="O112" s="26"/>
      <c r="P112" s="44"/>
      <c r="Q112" s="26"/>
      <c r="R112" s="27"/>
      <c r="S112" s="26"/>
    </row>
    <row r="113" spans="1:19" x14ac:dyDescent="0.25">
      <c r="A113" s="26"/>
      <c r="B113" s="25" t="str">
        <f>IF($A113="","",IFERROR(INDEX('Inventario General'!$C$5:$C$304,MATCH($A113,'Inventario General'!$A$5:$A$304,0))&amp;"","No está en el inventario"))</f>
        <v/>
      </c>
      <c r="C113" s="25" t="str">
        <f>IF($A113="","",IFERROR(INDEX('Inventario General'!$D$5:$D$304,MATCH($A113,'Inventario General'!$A$5:$A$304,0))&amp;"","No está en el inventario"))</f>
        <v/>
      </c>
      <c r="D113" s="25" t="str">
        <f>IF($A113="","",IFERROR(INDEX('Inventario General'!$I$5:$I$304,MATCH($A113,'Inventario General'!$A$5:$A$304,0))&amp;"","No está en el inventario"))</f>
        <v/>
      </c>
      <c r="E113" s="26"/>
      <c r="F113" s="29"/>
      <c r="G113" s="26"/>
      <c r="H113" s="26"/>
      <c r="I113" s="26"/>
      <c r="J113" s="26"/>
      <c r="K113" s="26"/>
      <c r="L113" s="26"/>
      <c r="M113" s="26"/>
      <c r="N113" s="26"/>
      <c r="O113" s="26"/>
      <c r="P113" s="44"/>
      <c r="Q113" s="26"/>
      <c r="R113" s="27"/>
      <c r="S113" s="26"/>
    </row>
    <row r="114" spans="1:19" x14ac:dyDescent="0.25">
      <c r="A114" s="26"/>
      <c r="B114" s="25" t="str">
        <f>IF($A114="","",IFERROR(INDEX('Inventario General'!$C$5:$C$304,MATCH($A114,'Inventario General'!$A$5:$A$304,0))&amp;"","No está en el inventario"))</f>
        <v/>
      </c>
      <c r="C114" s="25" t="str">
        <f>IF($A114="","",IFERROR(INDEX('Inventario General'!$D$5:$D$304,MATCH($A114,'Inventario General'!$A$5:$A$304,0))&amp;"","No está en el inventario"))</f>
        <v/>
      </c>
      <c r="D114" s="25" t="str">
        <f>IF($A114="","",IFERROR(INDEX('Inventario General'!$I$5:$I$304,MATCH($A114,'Inventario General'!$A$5:$A$304,0))&amp;"","No está en el inventario"))</f>
        <v/>
      </c>
      <c r="E114" s="26"/>
      <c r="F114" s="29"/>
      <c r="G114" s="26"/>
      <c r="H114" s="26"/>
      <c r="I114" s="26"/>
      <c r="J114" s="26"/>
      <c r="K114" s="26"/>
      <c r="L114" s="26"/>
      <c r="M114" s="26"/>
      <c r="N114" s="26"/>
      <c r="O114" s="26"/>
      <c r="P114" s="44"/>
      <c r="Q114" s="26"/>
      <c r="R114" s="27"/>
      <c r="S114" s="26"/>
    </row>
    <row r="115" spans="1:19" x14ac:dyDescent="0.25">
      <c r="A115" s="26"/>
      <c r="B115" s="25" t="str">
        <f>IF($A115="","",IFERROR(INDEX('Inventario General'!$C$5:$C$304,MATCH($A115,'Inventario General'!$A$5:$A$304,0))&amp;"","No está en el inventario"))</f>
        <v/>
      </c>
      <c r="C115" s="25" t="str">
        <f>IF($A115="","",IFERROR(INDEX('Inventario General'!$D$5:$D$304,MATCH($A115,'Inventario General'!$A$5:$A$304,0))&amp;"","No está en el inventario"))</f>
        <v/>
      </c>
      <c r="D115" s="25" t="str">
        <f>IF($A115="","",IFERROR(INDEX('Inventario General'!$I$5:$I$304,MATCH($A115,'Inventario General'!$A$5:$A$304,0))&amp;"","No está en el inventario"))</f>
        <v/>
      </c>
      <c r="E115" s="26"/>
      <c r="F115" s="29"/>
      <c r="G115" s="26"/>
      <c r="H115" s="26"/>
      <c r="I115" s="26"/>
      <c r="J115" s="26"/>
      <c r="K115" s="26"/>
      <c r="L115" s="26"/>
      <c r="M115" s="26"/>
      <c r="N115" s="26"/>
      <c r="O115" s="26"/>
      <c r="P115" s="44"/>
      <c r="Q115" s="26"/>
      <c r="R115" s="27"/>
      <c r="S115" s="26"/>
    </row>
    <row r="116" spans="1:19" x14ac:dyDescent="0.25">
      <c r="A116" s="26"/>
      <c r="B116" s="25" t="str">
        <f>IF($A116="","",IFERROR(INDEX('Inventario General'!$C$5:$C$304,MATCH($A116,'Inventario General'!$A$5:$A$304,0))&amp;"","No está en el inventario"))</f>
        <v/>
      </c>
      <c r="C116" s="25" t="str">
        <f>IF($A116="","",IFERROR(INDEX('Inventario General'!$D$5:$D$304,MATCH($A116,'Inventario General'!$A$5:$A$304,0))&amp;"","No está en el inventario"))</f>
        <v/>
      </c>
      <c r="D116" s="25" t="str">
        <f>IF($A116="","",IFERROR(INDEX('Inventario General'!$I$5:$I$304,MATCH($A116,'Inventario General'!$A$5:$A$304,0))&amp;"","No está en el inventario"))</f>
        <v/>
      </c>
      <c r="E116" s="26"/>
      <c r="F116" s="29"/>
      <c r="G116" s="26"/>
      <c r="H116" s="26"/>
      <c r="I116" s="26"/>
      <c r="J116" s="26"/>
      <c r="K116" s="26"/>
      <c r="L116" s="26"/>
      <c r="M116" s="26"/>
      <c r="N116" s="26"/>
      <c r="O116" s="26"/>
      <c r="P116" s="44"/>
      <c r="Q116" s="26"/>
      <c r="R116" s="27"/>
      <c r="S116" s="26"/>
    </row>
    <row r="117" spans="1:19" x14ac:dyDescent="0.25">
      <c r="A117" s="26"/>
      <c r="B117" s="25" t="str">
        <f>IF($A117="","",IFERROR(INDEX('Inventario General'!$C$5:$C$304,MATCH($A117,'Inventario General'!$A$5:$A$304,0))&amp;"","No está en el inventario"))</f>
        <v/>
      </c>
      <c r="C117" s="25" t="str">
        <f>IF($A117="","",IFERROR(INDEX('Inventario General'!$D$5:$D$304,MATCH($A117,'Inventario General'!$A$5:$A$304,0))&amp;"","No está en el inventario"))</f>
        <v/>
      </c>
      <c r="D117" s="25" t="str">
        <f>IF($A117="","",IFERROR(INDEX('Inventario General'!$I$5:$I$304,MATCH($A117,'Inventario General'!$A$5:$A$304,0))&amp;"","No está en el inventario"))</f>
        <v/>
      </c>
      <c r="E117" s="26"/>
      <c r="F117" s="29"/>
      <c r="G117" s="26"/>
      <c r="H117" s="26"/>
      <c r="I117" s="26"/>
      <c r="J117" s="26"/>
      <c r="K117" s="26"/>
      <c r="L117" s="26"/>
      <c r="M117" s="26"/>
      <c r="N117" s="26"/>
      <c r="O117" s="26"/>
      <c r="P117" s="44"/>
      <c r="Q117" s="26"/>
      <c r="R117" s="27"/>
      <c r="S117" s="26"/>
    </row>
    <row r="118" spans="1:19" x14ac:dyDescent="0.25">
      <c r="A118" s="26"/>
      <c r="B118" s="25" t="str">
        <f>IF($A118="","",IFERROR(INDEX('Inventario General'!$C$5:$C$304,MATCH($A118,'Inventario General'!$A$5:$A$304,0))&amp;"","No está en el inventario"))</f>
        <v/>
      </c>
      <c r="C118" s="25" t="str">
        <f>IF($A118="","",IFERROR(INDEX('Inventario General'!$D$5:$D$304,MATCH($A118,'Inventario General'!$A$5:$A$304,0))&amp;"","No está en el inventario"))</f>
        <v/>
      </c>
      <c r="D118" s="25" t="str">
        <f>IF($A118="","",IFERROR(INDEX('Inventario General'!$I$5:$I$304,MATCH($A118,'Inventario General'!$A$5:$A$304,0))&amp;"","No está en el inventario"))</f>
        <v/>
      </c>
      <c r="E118" s="26"/>
      <c r="F118" s="29"/>
      <c r="G118" s="26"/>
      <c r="H118" s="26"/>
      <c r="I118" s="26"/>
      <c r="J118" s="26"/>
      <c r="K118" s="26"/>
      <c r="L118" s="26"/>
      <c r="M118" s="26"/>
      <c r="N118" s="26"/>
      <c r="O118" s="26"/>
      <c r="P118" s="44"/>
      <c r="Q118" s="26"/>
      <c r="R118" s="27"/>
      <c r="S118" s="26"/>
    </row>
    <row r="119" spans="1:19" x14ac:dyDescent="0.25">
      <c r="A119" s="26"/>
      <c r="B119" s="25" t="str">
        <f>IF($A119="","",IFERROR(INDEX('Inventario General'!$C$5:$C$304,MATCH($A119,'Inventario General'!$A$5:$A$304,0))&amp;"","No está en el inventario"))</f>
        <v/>
      </c>
      <c r="C119" s="25" t="str">
        <f>IF($A119="","",IFERROR(INDEX('Inventario General'!$D$5:$D$304,MATCH($A119,'Inventario General'!$A$5:$A$304,0))&amp;"","No está en el inventario"))</f>
        <v/>
      </c>
      <c r="D119" s="25" t="str">
        <f>IF($A119="","",IFERROR(INDEX('Inventario General'!$I$5:$I$304,MATCH($A119,'Inventario General'!$A$5:$A$304,0))&amp;"","No está en el inventario"))</f>
        <v/>
      </c>
      <c r="E119" s="26"/>
      <c r="F119" s="29"/>
      <c r="G119" s="26"/>
      <c r="H119" s="26"/>
      <c r="I119" s="26"/>
      <c r="J119" s="26"/>
      <c r="K119" s="26"/>
      <c r="L119" s="26"/>
      <c r="M119" s="26"/>
      <c r="N119" s="26"/>
      <c r="O119" s="26"/>
      <c r="P119" s="44"/>
      <c r="Q119" s="26"/>
      <c r="R119" s="27"/>
      <c r="S119" s="26"/>
    </row>
    <row r="120" spans="1:19" x14ac:dyDescent="0.25">
      <c r="A120" s="26"/>
      <c r="B120" s="25" t="str">
        <f>IF($A120="","",IFERROR(INDEX('Inventario General'!$C$5:$C$304,MATCH($A120,'Inventario General'!$A$5:$A$304,0))&amp;"","No está en el inventario"))</f>
        <v/>
      </c>
      <c r="C120" s="25" t="str">
        <f>IF($A120="","",IFERROR(INDEX('Inventario General'!$D$5:$D$304,MATCH($A120,'Inventario General'!$A$5:$A$304,0))&amp;"","No está en el inventario"))</f>
        <v/>
      </c>
      <c r="D120" s="25" t="str">
        <f>IF($A120="","",IFERROR(INDEX('Inventario General'!$I$5:$I$304,MATCH($A120,'Inventario General'!$A$5:$A$304,0))&amp;"","No está en el inventario"))</f>
        <v/>
      </c>
      <c r="E120" s="26"/>
      <c r="F120" s="29"/>
      <c r="G120" s="26"/>
      <c r="H120" s="26"/>
      <c r="I120" s="26"/>
      <c r="J120" s="26"/>
      <c r="K120" s="26"/>
      <c r="L120" s="26"/>
      <c r="M120" s="26"/>
      <c r="N120" s="26"/>
      <c r="O120" s="26"/>
      <c r="P120" s="44"/>
      <c r="Q120" s="26"/>
      <c r="R120" s="27"/>
      <c r="S120" s="26"/>
    </row>
    <row r="121" spans="1:19" x14ac:dyDescent="0.25">
      <c r="A121" s="26"/>
      <c r="B121" s="25" t="str">
        <f>IF($A121="","",IFERROR(INDEX('Inventario General'!$C$5:$C$304,MATCH($A121,'Inventario General'!$A$5:$A$304,0))&amp;"","No está en el inventario"))</f>
        <v/>
      </c>
      <c r="C121" s="25" t="str">
        <f>IF($A121="","",IFERROR(INDEX('Inventario General'!$D$5:$D$304,MATCH($A121,'Inventario General'!$A$5:$A$304,0))&amp;"","No está en el inventario"))</f>
        <v/>
      </c>
      <c r="D121" s="25" t="str">
        <f>IF($A121="","",IFERROR(INDEX('Inventario General'!$I$5:$I$304,MATCH($A121,'Inventario General'!$A$5:$A$304,0))&amp;"","No está en el inventario"))</f>
        <v/>
      </c>
      <c r="E121" s="26"/>
      <c r="F121" s="29"/>
      <c r="G121" s="26"/>
      <c r="H121" s="26"/>
      <c r="I121" s="26"/>
      <c r="J121" s="26"/>
      <c r="K121" s="26"/>
      <c r="L121" s="26"/>
      <c r="M121" s="26"/>
      <c r="N121" s="26"/>
      <c r="O121" s="26"/>
      <c r="P121" s="44"/>
      <c r="Q121" s="26"/>
      <c r="R121" s="27"/>
      <c r="S121" s="26"/>
    </row>
    <row r="122" spans="1:19" x14ac:dyDescent="0.25">
      <c r="A122" s="26"/>
      <c r="B122" s="25" t="str">
        <f>IF($A122="","",IFERROR(INDEX('Inventario General'!$C$5:$C$304,MATCH($A122,'Inventario General'!$A$5:$A$304,0))&amp;"","No está en el inventario"))</f>
        <v/>
      </c>
      <c r="C122" s="25" t="str">
        <f>IF($A122="","",IFERROR(INDEX('Inventario General'!$D$5:$D$304,MATCH($A122,'Inventario General'!$A$5:$A$304,0))&amp;"","No está en el inventario"))</f>
        <v/>
      </c>
      <c r="D122" s="25" t="str">
        <f>IF($A122="","",IFERROR(INDEX('Inventario General'!$I$5:$I$304,MATCH($A122,'Inventario General'!$A$5:$A$304,0))&amp;"","No está en el inventario"))</f>
        <v/>
      </c>
      <c r="E122" s="26"/>
      <c r="F122" s="29"/>
      <c r="G122" s="26"/>
      <c r="H122" s="26"/>
      <c r="I122" s="26"/>
      <c r="J122" s="26"/>
      <c r="K122" s="26"/>
      <c r="L122" s="26"/>
      <c r="M122" s="26"/>
      <c r="N122" s="26"/>
      <c r="O122" s="26"/>
      <c r="P122" s="44"/>
      <c r="Q122" s="26"/>
      <c r="R122" s="27"/>
      <c r="S122" s="26"/>
    </row>
    <row r="123" spans="1:19" x14ac:dyDescent="0.25">
      <c r="A123" s="26"/>
      <c r="B123" s="25" t="str">
        <f>IF($A123="","",IFERROR(INDEX('Inventario General'!$C$5:$C$304,MATCH($A123,'Inventario General'!$A$5:$A$304,0))&amp;"","No está en el inventario"))</f>
        <v/>
      </c>
      <c r="C123" s="25" t="str">
        <f>IF($A123="","",IFERROR(INDEX('Inventario General'!$D$5:$D$304,MATCH($A123,'Inventario General'!$A$5:$A$304,0))&amp;"","No está en el inventario"))</f>
        <v/>
      </c>
      <c r="D123" s="25" t="str">
        <f>IF($A123="","",IFERROR(INDEX('Inventario General'!$I$5:$I$304,MATCH($A123,'Inventario General'!$A$5:$A$304,0))&amp;"","No está en el inventario"))</f>
        <v/>
      </c>
      <c r="E123" s="26"/>
      <c r="F123" s="29"/>
      <c r="G123" s="26"/>
      <c r="H123" s="26"/>
      <c r="I123" s="26"/>
      <c r="J123" s="26"/>
      <c r="K123" s="26"/>
      <c r="L123" s="26"/>
      <c r="M123" s="26"/>
      <c r="N123" s="26"/>
      <c r="O123" s="26"/>
      <c r="P123" s="44"/>
      <c r="Q123" s="26"/>
      <c r="R123" s="27"/>
      <c r="S123" s="26"/>
    </row>
    <row r="124" spans="1:19" x14ac:dyDescent="0.25">
      <c r="A124" s="26"/>
      <c r="B124" s="25" t="str">
        <f>IF($A124="","",IFERROR(INDEX('Inventario General'!$C$5:$C$304,MATCH($A124,'Inventario General'!$A$5:$A$304,0))&amp;"","No está en el inventario"))</f>
        <v/>
      </c>
      <c r="C124" s="25" t="str">
        <f>IF($A124="","",IFERROR(INDEX('Inventario General'!$D$5:$D$304,MATCH($A124,'Inventario General'!$A$5:$A$304,0))&amp;"","No está en el inventario"))</f>
        <v/>
      </c>
      <c r="D124" s="25" t="str">
        <f>IF($A124="","",IFERROR(INDEX('Inventario General'!$I$5:$I$304,MATCH($A124,'Inventario General'!$A$5:$A$304,0))&amp;"","No está en el inventario"))</f>
        <v/>
      </c>
      <c r="E124" s="26"/>
      <c r="F124" s="29"/>
      <c r="G124" s="26"/>
      <c r="H124" s="26"/>
      <c r="I124" s="26"/>
      <c r="J124" s="26"/>
      <c r="K124" s="26"/>
      <c r="L124" s="26"/>
      <c r="M124" s="26"/>
      <c r="N124" s="26"/>
      <c r="O124" s="26"/>
      <c r="P124" s="44"/>
      <c r="Q124" s="26"/>
      <c r="R124" s="27"/>
      <c r="S124" s="26"/>
    </row>
    <row r="125" spans="1:19" x14ac:dyDescent="0.25">
      <c r="A125" s="26"/>
      <c r="B125" s="25" t="str">
        <f>IF($A125="","",IFERROR(INDEX('Inventario General'!$C$5:$C$304,MATCH($A125,'Inventario General'!$A$5:$A$304,0))&amp;"","No está en el inventario"))</f>
        <v/>
      </c>
      <c r="C125" s="25" t="str">
        <f>IF($A125="","",IFERROR(INDEX('Inventario General'!$D$5:$D$304,MATCH($A125,'Inventario General'!$A$5:$A$304,0))&amp;"","No está en el inventario"))</f>
        <v/>
      </c>
      <c r="D125" s="25" t="str">
        <f>IF($A125="","",IFERROR(INDEX('Inventario General'!$I$5:$I$304,MATCH($A125,'Inventario General'!$A$5:$A$304,0))&amp;"","No está en el inventario"))</f>
        <v/>
      </c>
      <c r="E125" s="26"/>
      <c r="F125" s="29"/>
      <c r="G125" s="26"/>
      <c r="H125" s="26"/>
      <c r="I125" s="26"/>
      <c r="J125" s="26"/>
      <c r="K125" s="26"/>
      <c r="L125" s="26"/>
      <c r="M125" s="26"/>
      <c r="N125" s="26"/>
      <c r="O125" s="26"/>
      <c r="P125" s="44"/>
      <c r="Q125" s="26"/>
      <c r="R125" s="27"/>
      <c r="S125" s="26"/>
    </row>
    <row r="126" spans="1:19" x14ac:dyDescent="0.25">
      <c r="A126" s="26"/>
      <c r="B126" s="25" t="str">
        <f>IF($A126="","",IFERROR(INDEX('Inventario General'!$C$5:$C$304,MATCH($A126,'Inventario General'!$A$5:$A$304,0))&amp;"","No está en el inventario"))</f>
        <v/>
      </c>
      <c r="C126" s="25" t="str">
        <f>IF($A126="","",IFERROR(INDEX('Inventario General'!$D$5:$D$304,MATCH($A126,'Inventario General'!$A$5:$A$304,0))&amp;"","No está en el inventario"))</f>
        <v/>
      </c>
      <c r="D126" s="25" t="str">
        <f>IF($A126="","",IFERROR(INDEX('Inventario General'!$I$5:$I$304,MATCH($A126,'Inventario General'!$A$5:$A$304,0))&amp;"","No está en el inventario"))</f>
        <v/>
      </c>
      <c r="E126" s="26"/>
      <c r="F126" s="29"/>
      <c r="G126" s="26"/>
      <c r="H126" s="26"/>
      <c r="I126" s="26"/>
      <c r="J126" s="26"/>
      <c r="K126" s="26"/>
      <c r="L126" s="26"/>
      <c r="M126" s="26"/>
      <c r="N126" s="26"/>
      <c r="O126" s="26"/>
      <c r="P126" s="44"/>
      <c r="Q126" s="26"/>
      <c r="R126" s="27"/>
      <c r="S126" s="26"/>
    </row>
    <row r="127" spans="1:19" x14ac:dyDescent="0.25">
      <c r="A127" s="26"/>
      <c r="B127" s="25" t="str">
        <f>IF($A127="","",IFERROR(INDEX('Inventario General'!$C$5:$C$304,MATCH($A127,'Inventario General'!$A$5:$A$304,0))&amp;"","No está en el inventario"))</f>
        <v/>
      </c>
      <c r="C127" s="25" t="str">
        <f>IF($A127="","",IFERROR(INDEX('Inventario General'!$D$5:$D$304,MATCH($A127,'Inventario General'!$A$5:$A$304,0))&amp;"","No está en el inventario"))</f>
        <v/>
      </c>
      <c r="D127" s="25" t="str">
        <f>IF($A127="","",IFERROR(INDEX('Inventario General'!$I$5:$I$304,MATCH($A127,'Inventario General'!$A$5:$A$304,0))&amp;"","No está en el inventario"))</f>
        <v/>
      </c>
      <c r="E127" s="26"/>
      <c r="F127" s="29"/>
      <c r="G127" s="26"/>
      <c r="H127" s="26"/>
      <c r="I127" s="26"/>
      <c r="J127" s="26"/>
      <c r="K127" s="26"/>
      <c r="L127" s="26"/>
      <c r="M127" s="26"/>
      <c r="N127" s="26"/>
      <c r="O127" s="26"/>
      <c r="P127" s="44"/>
      <c r="Q127" s="26"/>
      <c r="R127" s="27"/>
      <c r="S127" s="26"/>
    </row>
    <row r="128" spans="1:19" x14ac:dyDescent="0.25">
      <c r="A128" s="26"/>
      <c r="B128" s="25" t="str">
        <f>IF($A128="","",IFERROR(INDEX('Inventario General'!$C$5:$C$304,MATCH($A128,'Inventario General'!$A$5:$A$304,0))&amp;"","No está en el inventario"))</f>
        <v/>
      </c>
      <c r="C128" s="25" t="str">
        <f>IF($A128="","",IFERROR(INDEX('Inventario General'!$D$5:$D$304,MATCH($A128,'Inventario General'!$A$5:$A$304,0))&amp;"","No está en el inventario"))</f>
        <v/>
      </c>
      <c r="D128" s="25" t="str">
        <f>IF($A128="","",IFERROR(INDEX('Inventario General'!$I$5:$I$304,MATCH($A128,'Inventario General'!$A$5:$A$304,0))&amp;"","No está en el inventario"))</f>
        <v/>
      </c>
      <c r="E128" s="26"/>
      <c r="F128" s="29"/>
      <c r="G128" s="26"/>
      <c r="H128" s="26"/>
      <c r="I128" s="26"/>
      <c r="J128" s="26"/>
      <c r="K128" s="26"/>
      <c r="L128" s="26"/>
      <c r="M128" s="26"/>
      <c r="N128" s="26"/>
      <c r="O128" s="26"/>
      <c r="P128" s="44"/>
      <c r="Q128" s="26"/>
      <c r="R128" s="27"/>
      <c r="S128" s="26"/>
    </row>
    <row r="129" spans="1:19" x14ac:dyDescent="0.25">
      <c r="A129" s="26"/>
      <c r="B129" s="25" t="str">
        <f>IF($A129="","",IFERROR(INDEX('Inventario General'!$C$5:$C$304,MATCH($A129,'Inventario General'!$A$5:$A$304,0))&amp;"","No está en el inventario"))</f>
        <v/>
      </c>
      <c r="C129" s="25" t="str">
        <f>IF($A129="","",IFERROR(INDEX('Inventario General'!$D$5:$D$304,MATCH($A129,'Inventario General'!$A$5:$A$304,0))&amp;"","No está en el inventario"))</f>
        <v/>
      </c>
      <c r="D129" s="25" t="str">
        <f>IF($A129="","",IFERROR(INDEX('Inventario General'!$I$5:$I$304,MATCH($A129,'Inventario General'!$A$5:$A$304,0))&amp;"","No está en el inventario"))</f>
        <v/>
      </c>
      <c r="E129" s="26"/>
      <c r="F129" s="29"/>
      <c r="G129" s="26"/>
      <c r="H129" s="26"/>
      <c r="I129" s="26"/>
      <c r="J129" s="26"/>
      <c r="K129" s="26"/>
      <c r="L129" s="26"/>
      <c r="M129" s="26"/>
      <c r="N129" s="26"/>
      <c r="O129" s="26"/>
      <c r="P129" s="44"/>
      <c r="Q129" s="26"/>
      <c r="R129" s="27"/>
      <c r="S129" s="26"/>
    </row>
    <row r="130" spans="1:19" x14ac:dyDescent="0.25">
      <c r="A130" s="26"/>
      <c r="B130" s="25" t="str">
        <f>IF($A130="","",IFERROR(INDEX('Inventario General'!$C$5:$C$304,MATCH($A130,'Inventario General'!$A$5:$A$304,0))&amp;"","No está en el inventario"))</f>
        <v/>
      </c>
      <c r="C130" s="25" t="str">
        <f>IF($A130="","",IFERROR(INDEX('Inventario General'!$D$5:$D$304,MATCH($A130,'Inventario General'!$A$5:$A$304,0))&amp;"","No está en el inventario"))</f>
        <v/>
      </c>
      <c r="D130" s="25" t="str">
        <f>IF($A130="","",IFERROR(INDEX('Inventario General'!$I$5:$I$304,MATCH($A130,'Inventario General'!$A$5:$A$304,0))&amp;"","No está en el inventario"))</f>
        <v/>
      </c>
      <c r="E130" s="26"/>
      <c r="F130" s="29"/>
      <c r="G130" s="26"/>
      <c r="H130" s="26"/>
      <c r="I130" s="26"/>
      <c r="J130" s="26"/>
      <c r="K130" s="26"/>
      <c r="L130" s="26"/>
      <c r="M130" s="26"/>
      <c r="N130" s="26"/>
      <c r="O130" s="26"/>
      <c r="P130" s="44"/>
      <c r="Q130" s="26"/>
      <c r="R130" s="27"/>
      <c r="S130" s="26"/>
    </row>
    <row r="131" spans="1:19" x14ac:dyDescent="0.25">
      <c r="A131" s="26"/>
      <c r="B131" s="25" t="str">
        <f>IF($A131="","",IFERROR(INDEX('Inventario General'!$C$5:$C$304,MATCH($A131,'Inventario General'!$A$5:$A$304,0))&amp;"","No está en el inventario"))</f>
        <v/>
      </c>
      <c r="C131" s="25" t="str">
        <f>IF($A131="","",IFERROR(INDEX('Inventario General'!$D$5:$D$304,MATCH($A131,'Inventario General'!$A$5:$A$304,0))&amp;"","No está en el inventario"))</f>
        <v/>
      </c>
      <c r="D131" s="25" t="str">
        <f>IF($A131="","",IFERROR(INDEX('Inventario General'!$I$5:$I$304,MATCH($A131,'Inventario General'!$A$5:$A$304,0))&amp;"","No está en el inventario"))</f>
        <v/>
      </c>
      <c r="E131" s="26"/>
      <c r="F131" s="29"/>
      <c r="G131" s="26"/>
      <c r="H131" s="26"/>
      <c r="I131" s="26"/>
      <c r="J131" s="26"/>
      <c r="K131" s="26"/>
      <c r="L131" s="26"/>
      <c r="M131" s="26"/>
      <c r="N131" s="26"/>
      <c r="O131" s="26"/>
      <c r="P131" s="44"/>
      <c r="Q131" s="26"/>
      <c r="R131" s="27"/>
      <c r="S131" s="26"/>
    </row>
    <row r="132" spans="1:19" x14ac:dyDescent="0.25">
      <c r="A132" s="26"/>
      <c r="B132" s="25" t="str">
        <f>IF($A132="","",IFERROR(INDEX('Inventario General'!$C$5:$C$304,MATCH($A132,'Inventario General'!$A$5:$A$304,0))&amp;"","No está en el inventario"))</f>
        <v/>
      </c>
      <c r="C132" s="25" t="str">
        <f>IF($A132="","",IFERROR(INDEX('Inventario General'!$D$5:$D$304,MATCH($A132,'Inventario General'!$A$5:$A$304,0))&amp;"","No está en el inventario"))</f>
        <v/>
      </c>
      <c r="D132" s="25" t="str">
        <f>IF($A132="","",IFERROR(INDEX('Inventario General'!$I$5:$I$304,MATCH($A132,'Inventario General'!$A$5:$A$304,0))&amp;"","No está en el inventario"))</f>
        <v/>
      </c>
      <c r="E132" s="26"/>
      <c r="F132" s="29"/>
      <c r="G132" s="26"/>
      <c r="H132" s="26"/>
      <c r="I132" s="26"/>
      <c r="J132" s="26"/>
      <c r="K132" s="26"/>
      <c r="L132" s="26"/>
      <c r="M132" s="26"/>
      <c r="N132" s="26"/>
      <c r="O132" s="26"/>
      <c r="P132" s="44"/>
      <c r="Q132" s="26"/>
      <c r="R132" s="27"/>
      <c r="S132" s="26"/>
    </row>
    <row r="133" spans="1:19" x14ac:dyDescent="0.25">
      <c r="A133" s="26"/>
      <c r="B133" s="25" t="str">
        <f>IF($A133="","",IFERROR(INDEX('Inventario General'!$C$5:$C$304,MATCH($A133,'Inventario General'!$A$5:$A$304,0))&amp;"","No está en el inventario"))</f>
        <v/>
      </c>
      <c r="C133" s="25" t="str">
        <f>IF($A133="","",IFERROR(INDEX('Inventario General'!$D$5:$D$304,MATCH($A133,'Inventario General'!$A$5:$A$304,0))&amp;"","No está en el inventario"))</f>
        <v/>
      </c>
      <c r="D133" s="25" t="str">
        <f>IF($A133="","",IFERROR(INDEX('Inventario General'!$I$5:$I$304,MATCH($A133,'Inventario General'!$A$5:$A$304,0))&amp;"","No está en el inventario"))</f>
        <v/>
      </c>
      <c r="E133" s="26"/>
      <c r="F133" s="29"/>
      <c r="G133" s="26"/>
      <c r="H133" s="26"/>
      <c r="I133" s="26"/>
      <c r="J133" s="26"/>
      <c r="K133" s="26"/>
      <c r="L133" s="26"/>
      <c r="M133" s="26"/>
      <c r="N133" s="26"/>
      <c r="O133" s="26"/>
      <c r="P133" s="44"/>
      <c r="Q133" s="26"/>
      <c r="R133" s="27"/>
      <c r="S133" s="26"/>
    </row>
    <row r="134" spans="1:19" x14ac:dyDescent="0.25">
      <c r="A134" s="26"/>
      <c r="B134" s="25" t="str">
        <f>IF($A134="","",IFERROR(INDEX('Inventario General'!$C$5:$C$304,MATCH($A134,'Inventario General'!$A$5:$A$304,0))&amp;"","No está en el inventario"))</f>
        <v/>
      </c>
      <c r="C134" s="25" t="str">
        <f>IF($A134="","",IFERROR(INDEX('Inventario General'!$D$5:$D$304,MATCH($A134,'Inventario General'!$A$5:$A$304,0))&amp;"","No está en el inventario"))</f>
        <v/>
      </c>
      <c r="D134" s="25" t="str">
        <f>IF($A134="","",IFERROR(INDEX('Inventario General'!$I$5:$I$304,MATCH($A134,'Inventario General'!$A$5:$A$304,0))&amp;"","No está en el inventario"))</f>
        <v/>
      </c>
      <c r="E134" s="26"/>
      <c r="F134" s="29"/>
      <c r="G134" s="26"/>
      <c r="H134" s="26"/>
      <c r="I134" s="26"/>
      <c r="J134" s="26"/>
      <c r="K134" s="26"/>
      <c r="L134" s="26"/>
      <c r="M134" s="26"/>
      <c r="N134" s="26"/>
      <c r="O134" s="26"/>
      <c r="P134" s="44"/>
      <c r="Q134" s="26"/>
      <c r="R134" s="27"/>
      <c r="S134" s="26"/>
    </row>
    <row r="135" spans="1:19" x14ac:dyDescent="0.25">
      <c r="A135" s="26"/>
      <c r="B135" s="25" t="str">
        <f>IF($A135="","",IFERROR(INDEX('Inventario General'!$C$5:$C$304,MATCH($A135,'Inventario General'!$A$5:$A$304,0))&amp;"","No está en el inventario"))</f>
        <v/>
      </c>
      <c r="C135" s="25" t="str">
        <f>IF($A135="","",IFERROR(INDEX('Inventario General'!$D$5:$D$304,MATCH($A135,'Inventario General'!$A$5:$A$304,0))&amp;"","No está en el inventario"))</f>
        <v/>
      </c>
      <c r="D135" s="25" t="str">
        <f>IF($A135="","",IFERROR(INDEX('Inventario General'!$I$5:$I$304,MATCH($A135,'Inventario General'!$A$5:$A$304,0))&amp;"","No está en el inventario"))</f>
        <v/>
      </c>
      <c r="E135" s="26"/>
      <c r="F135" s="29"/>
      <c r="G135" s="26"/>
      <c r="H135" s="26"/>
      <c r="I135" s="26"/>
      <c r="J135" s="26"/>
      <c r="K135" s="26"/>
      <c r="L135" s="26"/>
      <c r="M135" s="26"/>
      <c r="N135" s="26"/>
      <c r="O135" s="26"/>
      <c r="P135" s="44"/>
      <c r="Q135" s="26"/>
      <c r="R135" s="27"/>
      <c r="S135" s="26"/>
    </row>
    <row r="136" spans="1:19" x14ac:dyDescent="0.25">
      <c r="A136" s="26"/>
      <c r="B136" s="25" t="str">
        <f>IF($A136="","",IFERROR(INDEX('Inventario General'!$C$5:$C$304,MATCH($A136,'Inventario General'!$A$5:$A$304,0))&amp;"","No está en el inventario"))</f>
        <v/>
      </c>
      <c r="C136" s="25" t="str">
        <f>IF($A136="","",IFERROR(INDEX('Inventario General'!$D$5:$D$304,MATCH($A136,'Inventario General'!$A$5:$A$304,0))&amp;"","No está en el inventario"))</f>
        <v/>
      </c>
      <c r="D136" s="25" t="str">
        <f>IF($A136="","",IFERROR(INDEX('Inventario General'!$I$5:$I$304,MATCH($A136,'Inventario General'!$A$5:$A$304,0))&amp;"","No está en el inventario"))</f>
        <v/>
      </c>
      <c r="E136" s="26"/>
      <c r="F136" s="29"/>
      <c r="G136" s="26"/>
      <c r="H136" s="26"/>
      <c r="I136" s="26"/>
      <c r="J136" s="26"/>
      <c r="K136" s="26"/>
      <c r="L136" s="26"/>
      <c r="M136" s="26"/>
      <c r="N136" s="26"/>
      <c r="O136" s="26"/>
      <c r="P136" s="44"/>
      <c r="Q136" s="26"/>
      <c r="R136" s="27"/>
      <c r="S136" s="26"/>
    </row>
    <row r="137" spans="1:19" x14ac:dyDescent="0.25">
      <c r="A137" s="26"/>
      <c r="B137" s="25" t="str">
        <f>IF($A137="","",IFERROR(INDEX('Inventario General'!$C$5:$C$304,MATCH($A137,'Inventario General'!$A$5:$A$304,0))&amp;"","No está en el inventario"))</f>
        <v/>
      </c>
      <c r="C137" s="25" t="str">
        <f>IF($A137="","",IFERROR(INDEX('Inventario General'!$D$5:$D$304,MATCH($A137,'Inventario General'!$A$5:$A$304,0))&amp;"","No está en el inventario"))</f>
        <v/>
      </c>
      <c r="D137" s="25" t="str">
        <f>IF($A137="","",IFERROR(INDEX('Inventario General'!$I$5:$I$304,MATCH($A137,'Inventario General'!$A$5:$A$304,0))&amp;"","No está en el inventario"))</f>
        <v/>
      </c>
      <c r="E137" s="26"/>
      <c r="F137" s="29"/>
      <c r="G137" s="26"/>
      <c r="H137" s="26"/>
      <c r="I137" s="26"/>
      <c r="J137" s="26"/>
      <c r="K137" s="26"/>
      <c r="L137" s="26"/>
      <c r="M137" s="26"/>
      <c r="N137" s="26"/>
      <c r="O137" s="26"/>
      <c r="P137" s="44"/>
      <c r="Q137" s="26"/>
      <c r="R137" s="27"/>
      <c r="S137" s="26"/>
    </row>
    <row r="138" spans="1:19" x14ac:dyDescent="0.25">
      <c r="A138" s="26"/>
      <c r="B138" s="25" t="str">
        <f>IF($A138="","",IFERROR(INDEX('Inventario General'!$C$5:$C$304,MATCH($A138,'Inventario General'!$A$5:$A$304,0))&amp;"","No está en el inventario"))</f>
        <v/>
      </c>
      <c r="C138" s="25" t="str">
        <f>IF($A138="","",IFERROR(INDEX('Inventario General'!$D$5:$D$304,MATCH($A138,'Inventario General'!$A$5:$A$304,0))&amp;"","No está en el inventario"))</f>
        <v/>
      </c>
      <c r="D138" s="25" t="str">
        <f>IF($A138="","",IFERROR(INDEX('Inventario General'!$I$5:$I$304,MATCH($A138,'Inventario General'!$A$5:$A$304,0))&amp;"","No está en el inventario"))</f>
        <v/>
      </c>
      <c r="E138" s="26"/>
      <c r="F138" s="29"/>
      <c r="G138" s="26"/>
      <c r="H138" s="26"/>
      <c r="I138" s="26"/>
      <c r="J138" s="26"/>
      <c r="K138" s="26"/>
      <c r="L138" s="26"/>
      <c r="M138" s="26"/>
      <c r="N138" s="26"/>
      <c r="O138" s="26"/>
      <c r="P138" s="44"/>
      <c r="Q138" s="26"/>
      <c r="R138" s="27"/>
      <c r="S138" s="26"/>
    </row>
    <row r="139" spans="1:19" x14ac:dyDescent="0.25">
      <c r="A139" s="26"/>
      <c r="B139" s="25" t="str">
        <f>IF($A139="","",IFERROR(INDEX('Inventario General'!$C$5:$C$304,MATCH($A139,'Inventario General'!$A$5:$A$304,0))&amp;"","No está en el inventario"))</f>
        <v/>
      </c>
      <c r="C139" s="25" t="str">
        <f>IF($A139="","",IFERROR(INDEX('Inventario General'!$D$5:$D$304,MATCH($A139,'Inventario General'!$A$5:$A$304,0))&amp;"","No está en el inventario"))</f>
        <v/>
      </c>
      <c r="D139" s="25" t="str">
        <f>IF($A139="","",IFERROR(INDEX('Inventario General'!$I$5:$I$304,MATCH($A139,'Inventario General'!$A$5:$A$304,0))&amp;"","No está en el inventario"))</f>
        <v/>
      </c>
      <c r="E139" s="26"/>
      <c r="F139" s="29"/>
      <c r="G139" s="26"/>
      <c r="H139" s="26"/>
      <c r="I139" s="26"/>
      <c r="J139" s="26"/>
      <c r="K139" s="26"/>
      <c r="L139" s="26"/>
      <c r="M139" s="26"/>
      <c r="N139" s="26"/>
      <c r="O139" s="26"/>
      <c r="P139" s="44"/>
      <c r="Q139" s="26"/>
      <c r="R139" s="27"/>
      <c r="S139" s="26"/>
    </row>
    <row r="140" spans="1:19" x14ac:dyDescent="0.25">
      <c r="A140" s="26"/>
      <c r="B140" s="25" t="str">
        <f>IF($A140="","",IFERROR(INDEX('Inventario General'!$C$5:$C$304,MATCH($A140,'Inventario General'!$A$5:$A$304,0))&amp;"","No está en el inventario"))</f>
        <v/>
      </c>
      <c r="C140" s="25" t="str">
        <f>IF($A140="","",IFERROR(INDEX('Inventario General'!$D$5:$D$304,MATCH($A140,'Inventario General'!$A$5:$A$304,0))&amp;"","No está en el inventario"))</f>
        <v/>
      </c>
      <c r="D140" s="25" t="str">
        <f>IF($A140="","",IFERROR(INDEX('Inventario General'!$I$5:$I$304,MATCH($A140,'Inventario General'!$A$5:$A$304,0))&amp;"","No está en el inventario"))</f>
        <v/>
      </c>
      <c r="E140" s="26"/>
      <c r="F140" s="29"/>
      <c r="G140" s="26"/>
      <c r="H140" s="26"/>
      <c r="I140" s="26"/>
      <c r="J140" s="26"/>
      <c r="K140" s="26"/>
      <c r="L140" s="26"/>
      <c r="M140" s="26"/>
      <c r="N140" s="26"/>
      <c r="O140" s="26"/>
      <c r="P140" s="44"/>
      <c r="Q140" s="26"/>
      <c r="R140" s="27"/>
      <c r="S140" s="26"/>
    </row>
    <row r="141" spans="1:19" x14ac:dyDescent="0.25">
      <c r="A141" s="26"/>
      <c r="B141" s="25" t="str">
        <f>IF($A141="","",IFERROR(INDEX('Inventario General'!$C$5:$C$304,MATCH($A141,'Inventario General'!$A$5:$A$304,0))&amp;"","No está en el inventario"))</f>
        <v/>
      </c>
      <c r="C141" s="25" t="str">
        <f>IF($A141="","",IFERROR(INDEX('Inventario General'!$D$5:$D$304,MATCH($A141,'Inventario General'!$A$5:$A$304,0))&amp;"","No está en el inventario"))</f>
        <v/>
      </c>
      <c r="D141" s="25" t="str">
        <f>IF($A141="","",IFERROR(INDEX('Inventario General'!$I$5:$I$304,MATCH($A141,'Inventario General'!$A$5:$A$304,0))&amp;"","No está en el inventario"))</f>
        <v/>
      </c>
      <c r="E141" s="26"/>
      <c r="F141" s="29"/>
      <c r="G141" s="26"/>
      <c r="H141" s="26"/>
      <c r="I141" s="26"/>
      <c r="J141" s="26"/>
      <c r="K141" s="26"/>
      <c r="L141" s="26"/>
      <c r="M141" s="26"/>
      <c r="N141" s="26"/>
      <c r="O141" s="26"/>
      <c r="P141" s="44"/>
      <c r="Q141" s="26"/>
      <c r="R141" s="27"/>
      <c r="S141" s="26"/>
    </row>
    <row r="142" spans="1:19" x14ac:dyDescent="0.25">
      <c r="A142" s="26"/>
      <c r="B142" s="25" t="str">
        <f>IF($A142="","",IFERROR(INDEX('Inventario General'!$C$5:$C$304,MATCH($A142,'Inventario General'!$A$5:$A$304,0))&amp;"","No está en el inventario"))</f>
        <v/>
      </c>
      <c r="C142" s="25" t="str">
        <f>IF($A142="","",IFERROR(INDEX('Inventario General'!$D$5:$D$304,MATCH($A142,'Inventario General'!$A$5:$A$304,0))&amp;"","No está en el inventario"))</f>
        <v/>
      </c>
      <c r="D142" s="25" t="str">
        <f>IF($A142="","",IFERROR(INDEX('Inventario General'!$I$5:$I$304,MATCH($A142,'Inventario General'!$A$5:$A$304,0))&amp;"","No está en el inventario"))</f>
        <v/>
      </c>
      <c r="E142" s="26"/>
      <c r="F142" s="29"/>
      <c r="G142" s="26"/>
      <c r="H142" s="26"/>
      <c r="I142" s="26"/>
      <c r="J142" s="26"/>
      <c r="K142" s="26"/>
      <c r="L142" s="26"/>
      <c r="M142" s="26"/>
      <c r="N142" s="26"/>
      <c r="O142" s="26"/>
      <c r="P142" s="44"/>
      <c r="Q142" s="26"/>
      <c r="R142" s="27"/>
      <c r="S142" s="26"/>
    </row>
    <row r="143" spans="1:19" x14ac:dyDescent="0.25">
      <c r="A143" s="26"/>
      <c r="B143" s="25" t="str">
        <f>IF($A143="","",IFERROR(INDEX('Inventario General'!$C$5:$C$304,MATCH($A143,'Inventario General'!$A$5:$A$304,0))&amp;"","No está en el inventario"))</f>
        <v/>
      </c>
      <c r="C143" s="25" t="str">
        <f>IF($A143="","",IFERROR(INDEX('Inventario General'!$D$5:$D$304,MATCH($A143,'Inventario General'!$A$5:$A$304,0))&amp;"","No está en el inventario"))</f>
        <v/>
      </c>
      <c r="D143" s="25" t="str">
        <f>IF($A143="","",IFERROR(INDEX('Inventario General'!$I$5:$I$304,MATCH($A143,'Inventario General'!$A$5:$A$304,0))&amp;"","No está en el inventario"))</f>
        <v/>
      </c>
      <c r="E143" s="26"/>
      <c r="F143" s="29"/>
      <c r="G143" s="26"/>
      <c r="H143" s="26"/>
      <c r="I143" s="26"/>
      <c r="J143" s="26"/>
      <c r="K143" s="26"/>
      <c r="L143" s="26"/>
      <c r="M143" s="26"/>
      <c r="N143" s="26"/>
      <c r="O143" s="26"/>
      <c r="P143" s="44"/>
      <c r="Q143" s="26"/>
      <c r="R143" s="27"/>
      <c r="S143" s="26"/>
    </row>
    <row r="144" spans="1:19" x14ac:dyDescent="0.25">
      <c r="A144" s="26"/>
      <c r="B144" s="25" t="str">
        <f>IF($A144="","",IFERROR(INDEX('Inventario General'!$C$5:$C$304,MATCH($A144,'Inventario General'!$A$5:$A$304,0))&amp;"","No está en el inventario"))</f>
        <v/>
      </c>
      <c r="C144" s="25" t="str">
        <f>IF($A144="","",IFERROR(INDEX('Inventario General'!$D$5:$D$304,MATCH($A144,'Inventario General'!$A$5:$A$304,0))&amp;"","No está en el inventario"))</f>
        <v/>
      </c>
      <c r="D144" s="25" t="str">
        <f>IF($A144="","",IFERROR(INDEX('Inventario General'!$I$5:$I$304,MATCH($A144,'Inventario General'!$A$5:$A$304,0))&amp;"","No está en el inventario"))</f>
        <v/>
      </c>
      <c r="E144" s="26"/>
      <c r="F144" s="29"/>
      <c r="G144" s="26"/>
      <c r="H144" s="26"/>
      <c r="I144" s="26"/>
      <c r="J144" s="26"/>
      <c r="K144" s="26"/>
      <c r="L144" s="26"/>
      <c r="M144" s="26"/>
      <c r="N144" s="26"/>
      <c r="O144" s="26"/>
      <c r="P144" s="44"/>
      <c r="Q144" s="26"/>
      <c r="R144" s="27"/>
      <c r="S144" s="26"/>
    </row>
    <row r="145" spans="1:19" x14ac:dyDescent="0.25">
      <c r="A145" s="26"/>
      <c r="B145" s="25" t="str">
        <f>IF($A145="","",IFERROR(INDEX('Inventario General'!$C$5:$C$304,MATCH($A145,'Inventario General'!$A$5:$A$304,0))&amp;"","No está en el inventario"))</f>
        <v/>
      </c>
      <c r="C145" s="25" t="str">
        <f>IF($A145="","",IFERROR(INDEX('Inventario General'!$D$5:$D$304,MATCH($A145,'Inventario General'!$A$5:$A$304,0))&amp;"","No está en el inventario"))</f>
        <v/>
      </c>
      <c r="D145" s="25" t="str">
        <f>IF($A145="","",IFERROR(INDEX('Inventario General'!$I$5:$I$304,MATCH($A145,'Inventario General'!$A$5:$A$304,0))&amp;"","No está en el inventario"))</f>
        <v/>
      </c>
      <c r="E145" s="26"/>
      <c r="F145" s="29"/>
      <c r="G145" s="26"/>
      <c r="H145" s="26"/>
      <c r="I145" s="26"/>
      <c r="J145" s="26"/>
      <c r="K145" s="26"/>
      <c r="L145" s="26"/>
      <c r="M145" s="26"/>
      <c r="N145" s="26"/>
      <c r="O145" s="26"/>
      <c r="P145" s="44"/>
      <c r="Q145" s="26"/>
      <c r="R145" s="27"/>
      <c r="S145" s="26"/>
    </row>
    <row r="146" spans="1:19" x14ac:dyDescent="0.25">
      <c r="A146" s="26"/>
      <c r="B146" s="25" t="str">
        <f>IF($A146="","",IFERROR(INDEX('Inventario General'!$C$5:$C$304,MATCH($A146,'Inventario General'!$A$5:$A$304,0))&amp;"","No está en el inventario"))</f>
        <v/>
      </c>
      <c r="C146" s="25" t="str">
        <f>IF($A146="","",IFERROR(INDEX('Inventario General'!$D$5:$D$304,MATCH($A146,'Inventario General'!$A$5:$A$304,0))&amp;"","No está en el inventario"))</f>
        <v/>
      </c>
      <c r="D146" s="25" t="str">
        <f>IF($A146="","",IFERROR(INDEX('Inventario General'!$I$5:$I$304,MATCH($A146,'Inventario General'!$A$5:$A$304,0))&amp;"","No está en el inventario"))</f>
        <v/>
      </c>
      <c r="E146" s="26"/>
      <c r="F146" s="29"/>
      <c r="G146" s="26"/>
      <c r="H146" s="26"/>
      <c r="I146" s="26"/>
      <c r="J146" s="26"/>
      <c r="K146" s="26"/>
      <c r="L146" s="26"/>
      <c r="M146" s="26"/>
      <c r="N146" s="26"/>
      <c r="O146" s="26"/>
      <c r="P146" s="44"/>
      <c r="Q146" s="26"/>
      <c r="R146" s="27"/>
      <c r="S146" s="26"/>
    </row>
    <row r="147" spans="1:19" x14ac:dyDescent="0.25">
      <c r="A147" s="26"/>
      <c r="B147" s="25" t="str">
        <f>IF($A147="","",IFERROR(INDEX('Inventario General'!$C$5:$C$304,MATCH($A147,'Inventario General'!$A$5:$A$304,0))&amp;"","No está en el inventario"))</f>
        <v/>
      </c>
      <c r="C147" s="25" t="str">
        <f>IF($A147="","",IFERROR(INDEX('Inventario General'!$D$5:$D$304,MATCH($A147,'Inventario General'!$A$5:$A$304,0))&amp;"","No está en el inventario"))</f>
        <v/>
      </c>
      <c r="D147" s="25" t="str">
        <f>IF($A147="","",IFERROR(INDEX('Inventario General'!$I$5:$I$304,MATCH($A147,'Inventario General'!$A$5:$A$304,0))&amp;"","No está en el inventario"))</f>
        <v/>
      </c>
      <c r="E147" s="26"/>
      <c r="F147" s="29"/>
      <c r="G147" s="26"/>
      <c r="H147" s="26"/>
      <c r="I147" s="26"/>
      <c r="J147" s="26"/>
      <c r="K147" s="26"/>
      <c r="L147" s="26"/>
      <c r="M147" s="26"/>
      <c r="N147" s="26"/>
      <c r="O147" s="26"/>
      <c r="P147" s="44"/>
      <c r="Q147" s="26"/>
      <c r="R147" s="27"/>
      <c r="S147" s="26"/>
    </row>
    <row r="148" spans="1:19" x14ac:dyDescent="0.25">
      <c r="A148" s="26"/>
      <c r="B148" s="25" t="str">
        <f>IF($A148="","",IFERROR(INDEX('Inventario General'!$C$5:$C$304,MATCH($A148,'Inventario General'!$A$5:$A$304,0))&amp;"","No está en el inventario"))</f>
        <v/>
      </c>
      <c r="C148" s="25" t="str">
        <f>IF($A148="","",IFERROR(INDEX('Inventario General'!$D$5:$D$304,MATCH($A148,'Inventario General'!$A$5:$A$304,0))&amp;"","No está en el inventario"))</f>
        <v/>
      </c>
      <c r="D148" s="25" t="str">
        <f>IF($A148="","",IFERROR(INDEX('Inventario General'!$I$5:$I$304,MATCH($A148,'Inventario General'!$A$5:$A$304,0))&amp;"","No está en el inventario"))</f>
        <v/>
      </c>
      <c r="E148" s="26"/>
      <c r="F148" s="29"/>
      <c r="G148" s="26"/>
      <c r="H148" s="26"/>
      <c r="I148" s="26"/>
      <c r="J148" s="26"/>
      <c r="K148" s="26"/>
      <c r="L148" s="26"/>
      <c r="M148" s="26"/>
      <c r="N148" s="26"/>
      <c r="O148" s="26"/>
      <c r="P148" s="44"/>
      <c r="Q148" s="26"/>
      <c r="R148" s="27"/>
      <c r="S148" s="26"/>
    </row>
    <row r="149" spans="1:19" x14ac:dyDescent="0.25">
      <c r="A149" s="26"/>
      <c r="B149" s="25" t="str">
        <f>IF($A149="","",IFERROR(INDEX('Inventario General'!$C$5:$C$304,MATCH($A149,'Inventario General'!$A$5:$A$304,0))&amp;"","No está en el inventario"))</f>
        <v/>
      </c>
      <c r="C149" s="25" t="str">
        <f>IF($A149="","",IFERROR(INDEX('Inventario General'!$D$5:$D$304,MATCH($A149,'Inventario General'!$A$5:$A$304,0))&amp;"","No está en el inventario"))</f>
        <v/>
      </c>
      <c r="D149" s="25" t="str">
        <f>IF($A149="","",IFERROR(INDEX('Inventario General'!$I$5:$I$304,MATCH($A149,'Inventario General'!$A$5:$A$304,0))&amp;"","No está en el inventario"))</f>
        <v/>
      </c>
      <c r="E149" s="26"/>
      <c r="F149" s="29"/>
      <c r="G149" s="26"/>
      <c r="H149" s="26"/>
      <c r="I149" s="26"/>
      <c r="J149" s="26"/>
      <c r="K149" s="26"/>
      <c r="L149" s="26"/>
      <c r="M149" s="26"/>
      <c r="N149" s="26"/>
      <c r="O149" s="26"/>
      <c r="P149" s="44"/>
      <c r="Q149" s="26"/>
      <c r="R149" s="27"/>
      <c r="S149" s="26"/>
    </row>
    <row r="150" spans="1:19" x14ac:dyDescent="0.25">
      <c r="A150" s="26"/>
      <c r="B150" s="25" t="str">
        <f>IF($A150="","",IFERROR(INDEX('Inventario General'!$C$5:$C$304,MATCH($A150,'Inventario General'!$A$5:$A$304,0))&amp;"","No está en el inventario"))</f>
        <v/>
      </c>
      <c r="C150" s="25" t="str">
        <f>IF($A150="","",IFERROR(INDEX('Inventario General'!$D$5:$D$304,MATCH($A150,'Inventario General'!$A$5:$A$304,0))&amp;"","No está en el inventario"))</f>
        <v/>
      </c>
      <c r="D150" s="25" t="str">
        <f>IF($A150="","",IFERROR(INDEX('Inventario General'!$I$5:$I$304,MATCH($A150,'Inventario General'!$A$5:$A$304,0))&amp;"","No está en el inventario"))</f>
        <v/>
      </c>
      <c r="E150" s="26"/>
      <c r="F150" s="29"/>
      <c r="G150" s="26"/>
      <c r="H150" s="26"/>
      <c r="I150" s="26"/>
      <c r="J150" s="26"/>
      <c r="K150" s="26"/>
      <c r="L150" s="26"/>
      <c r="M150" s="26"/>
      <c r="N150" s="26"/>
      <c r="O150" s="26"/>
      <c r="P150" s="44"/>
      <c r="Q150" s="26"/>
      <c r="R150" s="27"/>
      <c r="S150" s="26"/>
    </row>
    <row r="151" spans="1:19" x14ac:dyDescent="0.25">
      <c r="A151" s="26"/>
      <c r="B151" s="25" t="str">
        <f>IF($A151="","",IFERROR(INDEX('Inventario General'!$C$5:$C$304,MATCH($A151,'Inventario General'!$A$5:$A$304,0))&amp;"","No está en el inventario"))</f>
        <v/>
      </c>
      <c r="C151" s="25" t="str">
        <f>IF($A151="","",IFERROR(INDEX('Inventario General'!$D$5:$D$304,MATCH($A151,'Inventario General'!$A$5:$A$304,0))&amp;"","No está en el inventario"))</f>
        <v/>
      </c>
      <c r="D151" s="25" t="str">
        <f>IF($A151="","",IFERROR(INDEX('Inventario General'!$I$5:$I$304,MATCH($A151,'Inventario General'!$A$5:$A$304,0))&amp;"","No está en el inventario"))</f>
        <v/>
      </c>
      <c r="E151" s="26"/>
      <c r="F151" s="29"/>
      <c r="G151" s="26"/>
      <c r="H151" s="26"/>
      <c r="I151" s="26"/>
      <c r="J151" s="26"/>
      <c r="K151" s="26"/>
      <c r="L151" s="26"/>
      <c r="M151" s="26"/>
      <c r="N151" s="26"/>
      <c r="O151" s="26"/>
      <c r="P151" s="44"/>
      <c r="Q151" s="26"/>
      <c r="R151" s="27"/>
      <c r="S151" s="26"/>
    </row>
    <row r="152" spans="1:19" x14ac:dyDescent="0.25">
      <c r="A152" s="26"/>
      <c r="B152" s="25" t="str">
        <f>IF($A152="","",IFERROR(INDEX('Inventario General'!$C$5:$C$304,MATCH($A152,'Inventario General'!$A$5:$A$304,0))&amp;"","No está en el inventario"))</f>
        <v/>
      </c>
      <c r="C152" s="25" t="str">
        <f>IF($A152="","",IFERROR(INDEX('Inventario General'!$D$5:$D$304,MATCH($A152,'Inventario General'!$A$5:$A$304,0))&amp;"","No está en el inventario"))</f>
        <v/>
      </c>
      <c r="D152" s="25" t="str">
        <f>IF($A152="","",IFERROR(INDEX('Inventario General'!$I$5:$I$304,MATCH($A152,'Inventario General'!$A$5:$A$304,0))&amp;"","No está en el inventario"))</f>
        <v/>
      </c>
      <c r="E152" s="26"/>
      <c r="F152" s="29"/>
      <c r="G152" s="26"/>
      <c r="H152" s="26"/>
      <c r="I152" s="26"/>
      <c r="J152" s="26"/>
      <c r="K152" s="26"/>
      <c r="L152" s="26"/>
      <c r="M152" s="26"/>
      <c r="N152" s="26"/>
      <c r="O152" s="26"/>
      <c r="P152" s="44"/>
      <c r="Q152" s="26"/>
      <c r="R152" s="27"/>
      <c r="S152" s="26"/>
    </row>
    <row r="153" spans="1:19" x14ac:dyDescent="0.25">
      <c r="A153" s="26"/>
      <c r="B153" s="25" t="str">
        <f>IF($A153="","",IFERROR(INDEX('Inventario General'!$C$5:$C$304,MATCH($A153,'Inventario General'!$A$5:$A$304,0))&amp;"","No está en el inventario"))</f>
        <v/>
      </c>
      <c r="C153" s="25" t="str">
        <f>IF($A153="","",IFERROR(INDEX('Inventario General'!$D$5:$D$304,MATCH($A153,'Inventario General'!$A$5:$A$304,0))&amp;"","No está en el inventario"))</f>
        <v/>
      </c>
      <c r="D153" s="25" t="str">
        <f>IF($A153="","",IFERROR(INDEX('Inventario General'!$I$5:$I$304,MATCH($A153,'Inventario General'!$A$5:$A$304,0))&amp;"","No está en el inventario"))</f>
        <v/>
      </c>
      <c r="E153" s="26"/>
      <c r="F153" s="29"/>
      <c r="G153" s="26"/>
      <c r="H153" s="26"/>
      <c r="I153" s="26"/>
      <c r="J153" s="26"/>
      <c r="K153" s="26"/>
      <c r="L153" s="26"/>
      <c r="M153" s="26"/>
      <c r="N153" s="26"/>
      <c r="O153" s="26"/>
      <c r="P153" s="44"/>
      <c r="Q153" s="26"/>
      <c r="R153" s="27"/>
      <c r="S153" s="26"/>
    </row>
    <row r="154" spans="1:19" x14ac:dyDescent="0.25">
      <c r="A154" s="26"/>
      <c r="B154" s="25" t="str">
        <f>IF($A154="","",IFERROR(INDEX('Inventario General'!$C$5:$C$304,MATCH($A154,'Inventario General'!$A$5:$A$304,0))&amp;"","No está en el inventario"))</f>
        <v/>
      </c>
      <c r="C154" s="25" t="str">
        <f>IF($A154="","",IFERROR(INDEX('Inventario General'!$D$5:$D$304,MATCH($A154,'Inventario General'!$A$5:$A$304,0))&amp;"","No está en el inventario"))</f>
        <v/>
      </c>
      <c r="D154" s="25" t="str">
        <f>IF($A154="","",IFERROR(INDEX('Inventario General'!$I$5:$I$304,MATCH($A154,'Inventario General'!$A$5:$A$304,0))&amp;"","No está en el inventario"))</f>
        <v/>
      </c>
      <c r="E154" s="26"/>
      <c r="F154" s="29"/>
      <c r="G154" s="26"/>
      <c r="H154" s="26"/>
      <c r="I154" s="26"/>
      <c r="J154" s="26"/>
      <c r="K154" s="26"/>
      <c r="L154" s="26"/>
      <c r="M154" s="26"/>
      <c r="N154" s="26"/>
      <c r="O154" s="26"/>
      <c r="P154" s="44"/>
      <c r="Q154" s="26"/>
      <c r="R154" s="27"/>
      <c r="S154" s="26"/>
    </row>
    <row r="155" spans="1:19" x14ac:dyDescent="0.25">
      <c r="A155" s="26"/>
      <c r="B155" s="25" t="str">
        <f>IF($A155="","",IFERROR(INDEX('Inventario General'!$C$5:$C$304,MATCH($A155,'Inventario General'!$A$5:$A$304,0))&amp;"","No está en el inventario"))</f>
        <v/>
      </c>
      <c r="C155" s="25" t="str">
        <f>IF($A155="","",IFERROR(INDEX('Inventario General'!$D$5:$D$304,MATCH($A155,'Inventario General'!$A$5:$A$304,0))&amp;"","No está en el inventario"))</f>
        <v/>
      </c>
      <c r="D155" s="25" t="str">
        <f>IF($A155="","",IFERROR(INDEX('Inventario General'!$I$5:$I$304,MATCH($A155,'Inventario General'!$A$5:$A$304,0))&amp;"","No está en el inventario"))</f>
        <v/>
      </c>
      <c r="E155" s="26"/>
      <c r="F155" s="29"/>
      <c r="G155" s="26"/>
      <c r="H155" s="26"/>
      <c r="I155" s="26"/>
      <c r="J155" s="26"/>
      <c r="K155" s="26"/>
      <c r="L155" s="26"/>
      <c r="M155" s="26"/>
      <c r="N155" s="26"/>
      <c r="O155" s="26"/>
      <c r="P155" s="44"/>
      <c r="Q155" s="26"/>
      <c r="R155" s="27"/>
      <c r="S155" s="26"/>
    </row>
    <row r="156" spans="1:19" x14ac:dyDescent="0.25">
      <c r="A156" s="26"/>
      <c r="B156" s="25" t="str">
        <f>IF($A156="","",IFERROR(INDEX('Inventario General'!$C$5:$C$304,MATCH($A156,'Inventario General'!$A$5:$A$304,0))&amp;"","No está en el inventario"))</f>
        <v/>
      </c>
      <c r="C156" s="25" t="str">
        <f>IF($A156="","",IFERROR(INDEX('Inventario General'!$D$5:$D$304,MATCH($A156,'Inventario General'!$A$5:$A$304,0))&amp;"","No está en el inventario"))</f>
        <v/>
      </c>
      <c r="D156" s="25" t="str">
        <f>IF($A156="","",IFERROR(INDEX('Inventario General'!$I$5:$I$304,MATCH($A156,'Inventario General'!$A$5:$A$304,0))&amp;"","No está en el inventario"))</f>
        <v/>
      </c>
      <c r="E156" s="26"/>
      <c r="F156" s="29"/>
      <c r="G156" s="26"/>
      <c r="H156" s="26"/>
      <c r="I156" s="26"/>
      <c r="J156" s="26"/>
      <c r="K156" s="26"/>
      <c r="L156" s="26"/>
      <c r="M156" s="26"/>
      <c r="N156" s="26"/>
      <c r="O156" s="26"/>
      <c r="P156" s="44"/>
      <c r="Q156" s="26"/>
      <c r="R156" s="27"/>
      <c r="S156" s="26"/>
    </row>
    <row r="157" spans="1:19" x14ac:dyDescent="0.25">
      <c r="A157" s="26"/>
      <c r="B157" s="25" t="str">
        <f>IF($A157="","",IFERROR(INDEX('Inventario General'!$C$5:$C$304,MATCH($A157,'Inventario General'!$A$5:$A$304,0))&amp;"","No está en el inventario"))</f>
        <v/>
      </c>
      <c r="C157" s="25" t="str">
        <f>IF($A157="","",IFERROR(INDEX('Inventario General'!$D$5:$D$304,MATCH($A157,'Inventario General'!$A$5:$A$304,0))&amp;"","No está en el inventario"))</f>
        <v/>
      </c>
      <c r="D157" s="25" t="str">
        <f>IF($A157="","",IFERROR(INDEX('Inventario General'!$I$5:$I$304,MATCH($A157,'Inventario General'!$A$5:$A$304,0))&amp;"","No está en el inventario"))</f>
        <v/>
      </c>
      <c r="E157" s="26"/>
      <c r="F157" s="29"/>
      <c r="G157" s="26"/>
      <c r="H157" s="26"/>
      <c r="I157" s="26"/>
      <c r="J157" s="26"/>
      <c r="K157" s="26"/>
      <c r="L157" s="26"/>
      <c r="M157" s="26"/>
      <c r="N157" s="26"/>
      <c r="O157" s="26"/>
      <c r="P157" s="44"/>
      <c r="Q157" s="26"/>
      <c r="R157" s="27"/>
      <c r="S157" s="26"/>
    </row>
    <row r="158" spans="1:19" x14ac:dyDescent="0.25">
      <c r="A158" s="26"/>
      <c r="B158" s="25" t="str">
        <f>IF($A158="","",IFERROR(INDEX('Inventario General'!$C$5:$C$304,MATCH($A158,'Inventario General'!$A$5:$A$304,0))&amp;"","No está en el inventario"))</f>
        <v/>
      </c>
      <c r="C158" s="25" t="str">
        <f>IF($A158="","",IFERROR(INDEX('Inventario General'!$D$5:$D$304,MATCH($A158,'Inventario General'!$A$5:$A$304,0))&amp;"","No está en el inventario"))</f>
        <v/>
      </c>
      <c r="D158" s="25" t="str">
        <f>IF($A158="","",IFERROR(INDEX('Inventario General'!$I$5:$I$304,MATCH($A158,'Inventario General'!$A$5:$A$304,0))&amp;"","No está en el inventario"))</f>
        <v/>
      </c>
      <c r="E158" s="26"/>
      <c r="F158" s="29"/>
      <c r="G158" s="26"/>
      <c r="H158" s="26"/>
      <c r="I158" s="26"/>
      <c r="J158" s="26"/>
      <c r="K158" s="26"/>
      <c r="L158" s="26"/>
      <c r="M158" s="26"/>
      <c r="N158" s="26"/>
      <c r="O158" s="26"/>
      <c r="P158" s="44"/>
      <c r="Q158" s="26"/>
      <c r="R158" s="27"/>
      <c r="S158" s="26"/>
    </row>
    <row r="159" spans="1:19" x14ac:dyDescent="0.25">
      <c r="A159" s="26"/>
      <c r="B159" s="25" t="str">
        <f>IF($A159="","",IFERROR(INDEX('Inventario General'!$C$5:$C$304,MATCH($A159,'Inventario General'!$A$5:$A$304,0))&amp;"","No está en el inventario"))</f>
        <v/>
      </c>
      <c r="C159" s="25" t="str">
        <f>IF($A159="","",IFERROR(INDEX('Inventario General'!$D$5:$D$304,MATCH($A159,'Inventario General'!$A$5:$A$304,0))&amp;"","No está en el inventario"))</f>
        <v/>
      </c>
      <c r="D159" s="25" t="str">
        <f>IF($A159="","",IFERROR(INDEX('Inventario General'!$I$5:$I$304,MATCH($A159,'Inventario General'!$A$5:$A$304,0))&amp;"","No está en el inventario"))</f>
        <v/>
      </c>
      <c r="E159" s="26"/>
      <c r="F159" s="29"/>
      <c r="G159" s="26"/>
      <c r="H159" s="26"/>
      <c r="I159" s="26"/>
      <c r="J159" s="26"/>
      <c r="K159" s="26"/>
      <c r="L159" s="26"/>
      <c r="M159" s="26"/>
      <c r="N159" s="26"/>
      <c r="O159" s="26"/>
      <c r="P159" s="44"/>
      <c r="Q159" s="26"/>
      <c r="R159" s="27"/>
      <c r="S159" s="26"/>
    </row>
    <row r="160" spans="1:19" x14ac:dyDescent="0.25">
      <c r="A160" s="26"/>
      <c r="B160" s="25" t="str">
        <f>IF($A160="","",IFERROR(INDEX('Inventario General'!$C$5:$C$304,MATCH($A160,'Inventario General'!$A$5:$A$304,0))&amp;"","No está en el inventario"))</f>
        <v/>
      </c>
      <c r="C160" s="25" t="str">
        <f>IF($A160="","",IFERROR(INDEX('Inventario General'!$D$5:$D$304,MATCH($A160,'Inventario General'!$A$5:$A$304,0))&amp;"","No está en el inventario"))</f>
        <v/>
      </c>
      <c r="D160" s="25" t="str">
        <f>IF($A160="","",IFERROR(INDEX('Inventario General'!$I$5:$I$304,MATCH($A160,'Inventario General'!$A$5:$A$304,0))&amp;"","No está en el inventario"))</f>
        <v/>
      </c>
      <c r="E160" s="26"/>
      <c r="F160" s="29"/>
      <c r="G160" s="26"/>
      <c r="H160" s="26"/>
      <c r="I160" s="26"/>
      <c r="J160" s="26"/>
      <c r="K160" s="26"/>
      <c r="L160" s="26"/>
      <c r="M160" s="26"/>
      <c r="N160" s="26"/>
      <c r="O160" s="26"/>
      <c r="P160" s="44"/>
      <c r="Q160" s="26"/>
      <c r="R160" s="27"/>
      <c r="S160" s="26"/>
    </row>
    <row r="161" spans="1:19" x14ac:dyDescent="0.25">
      <c r="A161" s="26"/>
      <c r="B161" s="25" t="str">
        <f>IF($A161="","",IFERROR(INDEX('Inventario General'!$C$5:$C$304,MATCH($A161,'Inventario General'!$A$5:$A$304,0))&amp;"","No está en el inventario"))</f>
        <v/>
      </c>
      <c r="C161" s="25" t="str">
        <f>IF($A161="","",IFERROR(INDEX('Inventario General'!$D$5:$D$304,MATCH($A161,'Inventario General'!$A$5:$A$304,0))&amp;"","No está en el inventario"))</f>
        <v/>
      </c>
      <c r="D161" s="25" t="str">
        <f>IF($A161="","",IFERROR(INDEX('Inventario General'!$I$5:$I$304,MATCH($A161,'Inventario General'!$A$5:$A$304,0))&amp;"","No está en el inventario"))</f>
        <v/>
      </c>
      <c r="E161" s="26"/>
      <c r="F161" s="29"/>
      <c r="G161" s="26"/>
      <c r="H161" s="26"/>
      <c r="I161" s="26"/>
      <c r="J161" s="26"/>
      <c r="K161" s="26"/>
      <c r="L161" s="26"/>
      <c r="M161" s="26"/>
      <c r="N161" s="26"/>
      <c r="O161" s="26"/>
      <c r="P161" s="44"/>
      <c r="Q161" s="26"/>
      <c r="R161" s="27"/>
      <c r="S161" s="26"/>
    </row>
    <row r="162" spans="1:19" x14ac:dyDescent="0.25">
      <c r="A162" s="26"/>
      <c r="B162" s="25" t="str">
        <f>IF($A162="","",IFERROR(INDEX('Inventario General'!$C$5:$C$304,MATCH($A162,'Inventario General'!$A$5:$A$304,0))&amp;"","No está en el inventario"))</f>
        <v/>
      </c>
      <c r="C162" s="25" t="str">
        <f>IF($A162="","",IFERROR(INDEX('Inventario General'!$D$5:$D$304,MATCH($A162,'Inventario General'!$A$5:$A$304,0))&amp;"","No está en el inventario"))</f>
        <v/>
      </c>
      <c r="D162" s="25" t="str">
        <f>IF($A162="","",IFERROR(INDEX('Inventario General'!$I$5:$I$304,MATCH($A162,'Inventario General'!$A$5:$A$304,0))&amp;"","No está en el inventario"))</f>
        <v/>
      </c>
      <c r="E162" s="26"/>
      <c r="F162" s="29"/>
      <c r="G162" s="26"/>
      <c r="H162" s="26"/>
      <c r="I162" s="26"/>
      <c r="J162" s="26"/>
      <c r="K162" s="26"/>
      <c r="L162" s="26"/>
      <c r="M162" s="26"/>
      <c r="N162" s="26"/>
      <c r="O162" s="26"/>
      <c r="P162" s="44"/>
      <c r="Q162" s="26"/>
      <c r="R162" s="27"/>
      <c r="S162" s="26"/>
    </row>
    <row r="163" spans="1:19" x14ac:dyDescent="0.25">
      <c r="A163" s="26"/>
      <c r="B163" s="25" t="str">
        <f>IF($A163="","",IFERROR(INDEX('Inventario General'!$C$5:$C$304,MATCH($A163,'Inventario General'!$A$5:$A$304,0))&amp;"","No está en el inventario"))</f>
        <v/>
      </c>
      <c r="C163" s="25" t="str">
        <f>IF($A163="","",IFERROR(INDEX('Inventario General'!$D$5:$D$304,MATCH($A163,'Inventario General'!$A$5:$A$304,0))&amp;"","No está en el inventario"))</f>
        <v/>
      </c>
      <c r="D163" s="25" t="str">
        <f>IF($A163="","",IFERROR(INDEX('Inventario General'!$I$5:$I$304,MATCH($A163,'Inventario General'!$A$5:$A$304,0))&amp;"","No está en el inventario"))</f>
        <v/>
      </c>
      <c r="E163" s="26"/>
      <c r="F163" s="29"/>
      <c r="G163" s="26"/>
      <c r="H163" s="26"/>
      <c r="I163" s="26"/>
      <c r="J163" s="26"/>
      <c r="K163" s="26"/>
      <c r="L163" s="26"/>
      <c r="M163" s="26"/>
      <c r="N163" s="26"/>
      <c r="O163" s="26"/>
      <c r="P163" s="44"/>
      <c r="Q163" s="26"/>
      <c r="R163" s="27"/>
      <c r="S163" s="26"/>
    </row>
    <row r="164" spans="1:19" x14ac:dyDescent="0.25">
      <c r="A164" s="26"/>
      <c r="B164" s="25" t="str">
        <f>IF($A164="","",IFERROR(INDEX('Inventario General'!$C$5:$C$304,MATCH($A164,'Inventario General'!$A$5:$A$304,0))&amp;"","No está en el inventario"))</f>
        <v/>
      </c>
      <c r="C164" s="25" t="str">
        <f>IF($A164="","",IFERROR(INDEX('Inventario General'!$D$5:$D$304,MATCH($A164,'Inventario General'!$A$5:$A$304,0))&amp;"","No está en el inventario"))</f>
        <v/>
      </c>
      <c r="D164" s="25" t="str">
        <f>IF($A164="","",IFERROR(INDEX('Inventario General'!$I$5:$I$304,MATCH($A164,'Inventario General'!$A$5:$A$304,0))&amp;"","No está en el inventario"))</f>
        <v/>
      </c>
      <c r="E164" s="26"/>
      <c r="F164" s="29"/>
      <c r="G164" s="26"/>
      <c r="H164" s="26"/>
      <c r="I164" s="26"/>
      <c r="J164" s="26"/>
      <c r="K164" s="26"/>
      <c r="L164" s="26"/>
      <c r="M164" s="26"/>
      <c r="N164" s="26"/>
      <c r="O164" s="26"/>
      <c r="P164" s="44"/>
      <c r="Q164" s="26"/>
      <c r="R164" s="27"/>
      <c r="S164" s="26"/>
    </row>
    <row r="165" spans="1:19" x14ac:dyDescent="0.25">
      <c r="A165" s="26"/>
      <c r="B165" s="25" t="str">
        <f>IF($A165="","",IFERROR(INDEX('Inventario General'!$C$5:$C$304,MATCH($A165,'Inventario General'!$A$5:$A$304,0))&amp;"","No está en el inventario"))</f>
        <v/>
      </c>
      <c r="C165" s="25" t="str">
        <f>IF($A165="","",IFERROR(INDEX('Inventario General'!$D$5:$D$304,MATCH($A165,'Inventario General'!$A$5:$A$304,0))&amp;"","No está en el inventario"))</f>
        <v/>
      </c>
      <c r="D165" s="25" t="str">
        <f>IF($A165="","",IFERROR(INDEX('Inventario General'!$I$5:$I$304,MATCH($A165,'Inventario General'!$A$5:$A$304,0))&amp;"","No está en el inventario"))</f>
        <v/>
      </c>
      <c r="E165" s="26"/>
      <c r="F165" s="29"/>
      <c r="G165" s="26"/>
      <c r="H165" s="26"/>
      <c r="I165" s="26"/>
      <c r="J165" s="26"/>
      <c r="K165" s="26"/>
      <c r="L165" s="26"/>
      <c r="M165" s="26"/>
      <c r="N165" s="26"/>
      <c r="O165" s="26"/>
      <c r="P165" s="44"/>
      <c r="Q165" s="26"/>
      <c r="R165" s="27"/>
      <c r="S165" s="26"/>
    </row>
    <row r="166" spans="1:19" x14ac:dyDescent="0.25">
      <c r="A166" s="26"/>
      <c r="B166" s="25" t="str">
        <f>IF($A166="","",IFERROR(INDEX('Inventario General'!$C$5:$C$304,MATCH($A166,'Inventario General'!$A$5:$A$304,0))&amp;"","No está en el inventario"))</f>
        <v/>
      </c>
      <c r="C166" s="25" t="str">
        <f>IF($A166="","",IFERROR(INDEX('Inventario General'!$D$5:$D$304,MATCH($A166,'Inventario General'!$A$5:$A$304,0))&amp;"","No está en el inventario"))</f>
        <v/>
      </c>
      <c r="D166" s="25" t="str">
        <f>IF($A166="","",IFERROR(INDEX('Inventario General'!$I$5:$I$304,MATCH($A166,'Inventario General'!$A$5:$A$304,0))&amp;"","No está en el inventario"))</f>
        <v/>
      </c>
      <c r="E166" s="26"/>
      <c r="F166" s="29"/>
      <c r="G166" s="26"/>
      <c r="H166" s="26"/>
      <c r="I166" s="26"/>
      <c r="J166" s="26"/>
      <c r="K166" s="26"/>
      <c r="L166" s="26"/>
      <c r="M166" s="26"/>
      <c r="N166" s="26"/>
      <c r="O166" s="26"/>
      <c r="P166" s="44"/>
      <c r="Q166" s="26"/>
      <c r="R166" s="27"/>
      <c r="S166" s="26"/>
    </row>
    <row r="167" spans="1:19" x14ac:dyDescent="0.25">
      <c r="A167" s="26"/>
      <c r="B167" s="25" t="str">
        <f>IF($A167="","",IFERROR(INDEX('Inventario General'!$C$5:$C$304,MATCH($A167,'Inventario General'!$A$5:$A$304,0))&amp;"","No está en el inventario"))</f>
        <v/>
      </c>
      <c r="C167" s="25" t="str">
        <f>IF($A167="","",IFERROR(INDEX('Inventario General'!$D$5:$D$304,MATCH($A167,'Inventario General'!$A$5:$A$304,0))&amp;"","No está en el inventario"))</f>
        <v/>
      </c>
      <c r="D167" s="25" t="str">
        <f>IF($A167="","",IFERROR(INDEX('Inventario General'!$I$5:$I$304,MATCH($A167,'Inventario General'!$A$5:$A$304,0))&amp;"","No está en el inventario"))</f>
        <v/>
      </c>
      <c r="E167" s="26"/>
      <c r="F167" s="29"/>
      <c r="G167" s="26"/>
      <c r="H167" s="26"/>
      <c r="I167" s="26"/>
      <c r="J167" s="26"/>
      <c r="K167" s="26"/>
      <c r="L167" s="26"/>
      <c r="M167" s="26"/>
      <c r="N167" s="26"/>
      <c r="O167" s="26"/>
      <c r="P167" s="44"/>
      <c r="Q167" s="26"/>
      <c r="R167" s="27"/>
      <c r="S167" s="26"/>
    </row>
    <row r="168" spans="1:19" x14ac:dyDescent="0.25">
      <c r="A168" s="26"/>
      <c r="B168" s="25" t="str">
        <f>IF($A168="","",IFERROR(INDEX('Inventario General'!$C$5:$C$304,MATCH($A168,'Inventario General'!$A$5:$A$304,0))&amp;"","No está en el inventario"))</f>
        <v/>
      </c>
      <c r="C168" s="25" t="str">
        <f>IF($A168="","",IFERROR(INDEX('Inventario General'!$D$5:$D$304,MATCH($A168,'Inventario General'!$A$5:$A$304,0))&amp;"","No está en el inventario"))</f>
        <v/>
      </c>
      <c r="D168" s="25" t="str">
        <f>IF($A168="","",IFERROR(INDEX('Inventario General'!$I$5:$I$304,MATCH($A168,'Inventario General'!$A$5:$A$304,0))&amp;"","No está en el inventario"))</f>
        <v/>
      </c>
      <c r="E168" s="26"/>
      <c r="F168" s="29"/>
      <c r="G168" s="26"/>
      <c r="H168" s="26"/>
      <c r="I168" s="26"/>
      <c r="J168" s="26"/>
      <c r="K168" s="26"/>
      <c r="L168" s="26"/>
      <c r="M168" s="26"/>
      <c r="N168" s="26"/>
      <c r="O168" s="26"/>
      <c r="P168" s="44"/>
      <c r="Q168" s="26"/>
      <c r="R168" s="27"/>
      <c r="S168" s="26"/>
    </row>
    <row r="169" spans="1:19" x14ac:dyDescent="0.25">
      <c r="A169" s="26"/>
      <c r="B169" s="25" t="str">
        <f>IF($A169="","",IFERROR(INDEX('Inventario General'!$C$5:$C$304,MATCH($A169,'Inventario General'!$A$5:$A$304,0))&amp;"","No está en el inventario"))</f>
        <v/>
      </c>
      <c r="C169" s="25" t="str">
        <f>IF($A169="","",IFERROR(INDEX('Inventario General'!$D$5:$D$304,MATCH($A169,'Inventario General'!$A$5:$A$304,0))&amp;"","No está en el inventario"))</f>
        <v/>
      </c>
      <c r="D169" s="25" t="str">
        <f>IF($A169="","",IFERROR(INDEX('Inventario General'!$I$5:$I$304,MATCH($A169,'Inventario General'!$A$5:$A$304,0))&amp;"","No está en el inventario"))</f>
        <v/>
      </c>
      <c r="E169" s="26"/>
      <c r="F169" s="29"/>
      <c r="G169" s="26"/>
      <c r="H169" s="26"/>
      <c r="I169" s="26"/>
      <c r="J169" s="26"/>
      <c r="K169" s="26"/>
      <c r="L169" s="26"/>
      <c r="M169" s="26"/>
      <c r="N169" s="26"/>
      <c r="O169" s="26"/>
      <c r="P169" s="44"/>
      <c r="Q169" s="26"/>
      <c r="R169" s="27"/>
      <c r="S169" s="26"/>
    </row>
    <row r="170" spans="1:19" x14ac:dyDescent="0.25">
      <c r="A170" s="26"/>
      <c r="B170" s="25" t="str">
        <f>IF($A170="","",IFERROR(INDEX('Inventario General'!$C$5:$C$304,MATCH($A170,'Inventario General'!$A$5:$A$304,0))&amp;"","No está en el inventario"))</f>
        <v/>
      </c>
      <c r="C170" s="25" t="str">
        <f>IF($A170="","",IFERROR(INDEX('Inventario General'!$D$5:$D$304,MATCH($A170,'Inventario General'!$A$5:$A$304,0))&amp;"","No está en el inventario"))</f>
        <v/>
      </c>
      <c r="D170" s="25" t="str">
        <f>IF($A170="","",IFERROR(INDEX('Inventario General'!$I$5:$I$304,MATCH($A170,'Inventario General'!$A$5:$A$304,0))&amp;"","No está en el inventario"))</f>
        <v/>
      </c>
      <c r="E170" s="26"/>
      <c r="F170" s="29"/>
      <c r="G170" s="26"/>
      <c r="H170" s="26"/>
      <c r="I170" s="26"/>
      <c r="J170" s="26"/>
      <c r="K170" s="26"/>
      <c r="L170" s="26"/>
      <c r="M170" s="26"/>
      <c r="N170" s="26"/>
      <c r="O170" s="26"/>
      <c r="P170" s="44"/>
      <c r="Q170" s="26"/>
      <c r="R170" s="27"/>
      <c r="S170" s="26"/>
    </row>
    <row r="171" spans="1:19" x14ac:dyDescent="0.25">
      <c r="A171" s="26"/>
      <c r="B171" s="25" t="str">
        <f>IF($A171="","",IFERROR(INDEX('Inventario General'!$C$5:$C$304,MATCH($A171,'Inventario General'!$A$5:$A$304,0))&amp;"","No está en el inventario"))</f>
        <v/>
      </c>
      <c r="C171" s="25" t="str">
        <f>IF($A171="","",IFERROR(INDEX('Inventario General'!$D$5:$D$304,MATCH($A171,'Inventario General'!$A$5:$A$304,0))&amp;"","No está en el inventario"))</f>
        <v/>
      </c>
      <c r="D171" s="25" t="str">
        <f>IF($A171="","",IFERROR(INDEX('Inventario General'!$I$5:$I$304,MATCH($A171,'Inventario General'!$A$5:$A$304,0))&amp;"","No está en el inventario"))</f>
        <v/>
      </c>
      <c r="E171" s="26"/>
      <c r="F171" s="29"/>
      <c r="G171" s="26"/>
      <c r="H171" s="26"/>
      <c r="I171" s="26"/>
      <c r="J171" s="26"/>
      <c r="K171" s="26"/>
      <c r="L171" s="26"/>
      <c r="M171" s="26"/>
      <c r="N171" s="26"/>
      <c r="O171" s="26"/>
      <c r="P171" s="44"/>
      <c r="Q171" s="26"/>
      <c r="R171" s="27"/>
      <c r="S171" s="26"/>
    </row>
    <row r="172" spans="1:19" x14ac:dyDescent="0.25">
      <c r="A172" s="26"/>
      <c r="B172" s="25" t="str">
        <f>IF($A172="","",IFERROR(INDEX('Inventario General'!$C$5:$C$304,MATCH($A172,'Inventario General'!$A$5:$A$304,0))&amp;"","No está en el inventario"))</f>
        <v/>
      </c>
      <c r="C172" s="25" t="str">
        <f>IF($A172="","",IFERROR(INDEX('Inventario General'!$D$5:$D$304,MATCH($A172,'Inventario General'!$A$5:$A$304,0))&amp;"","No está en el inventario"))</f>
        <v/>
      </c>
      <c r="D172" s="25" t="str">
        <f>IF($A172="","",IFERROR(INDEX('Inventario General'!$I$5:$I$304,MATCH($A172,'Inventario General'!$A$5:$A$304,0))&amp;"","No está en el inventario"))</f>
        <v/>
      </c>
      <c r="E172" s="26"/>
      <c r="F172" s="29"/>
      <c r="G172" s="26"/>
      <c r="H172" s="26"/>
      <c r="I172" s="26"/>
      <c r="J172" s="26"/>
      <c r="K172" s="26"/>
      <c r="L172" s="26"/>
      <c r="M172" s="26"/>
      <c r="N172" s="26"/>
      <c r="O172" s="26"/>
      <c r="P172" s="44"/>
      <c r="Q172" s="26"/>
      <c r="R172" s="27"/>
      <c r="S172" s="26"/>
    </row>
    <row r="173" spans="1:19" x14ac:dyDescent="0.25">
      <c r="A173" s="26"/>
      <c r="B173" s="25" t="str">
        <f>IF($A173="","",IFERROR(INDEX('Inventario General'!$C$5:$C$304,MATCH($A173,'Inventario General'!$A$5:$A$304,0))&amp;"","No está en el inventario"))</f>
        <v/>
      </c>
      <c r="C173" s="25" t="str">
        <f>IF($A173="","",IFERROR(INDEX('Inventario General'!$D$5:$D$304,MATCH($A173,'Inventario General'!$A$5:$A$304,0))&amp;"","No está en el inventario"))</f>
        <v/>
      </c>
      <c r="D173" s="25" t="str">
        <f>IF($A173="","",IFERROR(INDEX('Inventario General'!$I$5:$I$304,MATCH($A173,'Inventario General'!$A$5:$A$304,0))&amp;"","No está en el inventario"))</f>
        <v/>
      </c>
      <c r="E173" s="26"/>
      <c r="F173" s="29"/>
      <c r="G173" s="26"/>
      <c r="H173" s="26"/>
      <c r="I173" s="26"/>
      <c r="J173" s="26"/>
      <c r="K173" s="26"/>
      <c r="L173" s="26"/>
      <c r="M173" s="26"/>
      <c r="N173" s="26"/>
      <c r="O173" s="26"/>
      <c r="P173" s="44"/>
      <c r="Q173" s="26"/>
      <c r="R173" s="27"/>
      <c r="S173" s="26"/>
    </row>
    <row r="174" spans="1:19" x14ac:dyDescent="0.25">
      <c r="A174" s="26"/>
      <c r="B174" s="25" t="str">
        <f>IF($A174="","",IFERROR(INDEX('Inventario General'!$C$5:$C$304,MATCH($A174,'Inventario General'!$A$5:$A$304,0))&amp;"","No está en el inventario"))</f>
        <v/>
      </c>
      <c r="C174" s="25" t="str">
        <f>IF($A174="","",IFERROR(INDEX('Inventario General'!$D$5:$D$304,MATCH($A174,'Inventario General'!$A$5:$A$304,0))&amp;"","No está en el inventario"))</f>
        <v/>
      </c>
      <c r="D174" s="25" t="str">
        <f>IF($A174="","",IFERROR(INDEX('Inventario General'!$I$5:$I$304,MATCH($A174,'Inventario General'!$A$5:$A$304,0))&amp;"","No está en el inventario"))</f>
        <v/>
      </c>
      <c r="E174" s="26"/>
      <c r="F174" s="29"/>
      <c r="G174" s="26"/>
      <c r="H174" s="26"/>
      <c r="I174" s="26"/>
      <c r="J174" s="26"/>
      <c r="K174" s="26"/>
      <c r="L174" s="26"/>
      <c r="M174" s="26"/>
      <c r="N174" s="26"/>
      <c r="O174" s="26"/>
      <c r="P174" s="44"/>
      <c r="Q174" s="26"/>
      <c r="R174" s="27"/>
      <c r="S174" s="26"/>
    </row>
    <row r="175" spans="1:19" x14ac:dyDescent="0.25">
      <c r="A175" s="26"/>
      <c r="B175" s="25" t="str">
        <f>IF($A175="","",IFERROR(INDEX('Inventario General'!$C$5:$C$304,MATCH($A175,'Inventario General'!$A$5:$A$304,0))&amp;"","No está en el inventario"))</f>
        <v/>
      </c>
      <c r="C175" s="25" t="str">
        <f>IF($A175="","",IFERROR(INDEX('Inventario General'!$D$5:$D$304,MATCH($A175,'Inventario General'!$A$5:$A$304,0))&amp;"","No está en el inventario"))</f>
        <v/>
      </c>
      <c r="D175" s="25" t="str">
        <f>IF($A175="","",IFERROR(INDEX('Inventario General'!$I$5:$I$304,MATCH($A175,'Inventario General'!$A$5:$A$304,0))&amp;"","No está en el inventario"))</f>
        <v/>
      </c>
      <c r="E175" s="26"/>
      <c r="F175" s="29"/>
      <c r="G175" s="26"/>
      <c r="H175" s="26"/>
      <c r="I175" s="26"/>
      <c r="J175" s="26"/>
      <c r="K175" s="26"/>
      <c r="L175" s="26"/>
      <c r="M175" s="26"/>
      <c r="N175" s="26"/>
      <c r="O175" s="26"/>
      <c r="P175" s="44"/>
      <c r="Q175" s="26"/>
      <c r="R175" s="27"/>
      <c r="S175" s="26"/>
    </row>
    <row r="176" spans="1:19" x14ac:dyDescent="0.25">
      <c r="A176" s="26"/>
      <c r="B176" s="25" t="str">
        <f>IF($A176="","",IFERROR(INDEX('Inventario General'!$C$5:$C$304,MATCH($A176,'Inventario General'!$A$5:$A$304,0))&amp;"","No está en el inventario"))</f>
        <v/>
      </c>
      <c r="C176" s="25" t="str">
        <f>IF($A176="","",IFERROR(INDEX('Inventario General'!$D$5:$D$304,MATCH($A176,'Inventario General'!$A$5:$A$304,0))&amp;"","No está en el inventario"))</f>
        <v/>
      </c>
      <c r="D176" s="25" t="str">
        <f>IF($A176="","",IFERROR(INDEX('Inventario General'!$I$5:$I$304,MATCH($A176,'Inventario General'!$A$5:$A$304,0))&amp;"","No está en el inventario"))</f>
        <v/>
      </c>
      <c r="E176" s="26"/>
      <c r="F176" s="29"/>
      <c r="G176" s="26"/>
      <c r="H176" s="26"/>
      <c r="I176" s="26"/>
      <c r="J176" s="26"/>
      <c r="K176" s="26"/>
      <c r="L176" s="26"/>
      <c r="M176" s="26"/>
      <c r="N176" s="26"/>
      <c r="O176" s="26"/>
      <c r="P176" s="44"/>
      <c r="Q176" s="26"/>
      <c r="R176" s="27"/>
      <c r="S176" s="26"/>
    </row>
    <row r="177" spans="1:19" x14ac:dyDescent="0.25">
      <c r="A177" s="26"/>
      <c r="B177" s="25" t="str">
        <f>IF($A177="","",IFERROR(INDEX('Inventario General'!$C$5:$C$304,MATCH($A177,'Inventario General'!$A$5:$A$304,0))&amp;"","No está en el inventario"))</f>
        <v/>
      </c>
      <c r="C177" s="25" t="str">
        <f>IF($A177="","",IFERROR(INDEX('Inventario General'!$D$5:$D$304,MATCH($A177,'Inventario General'!$A$5:$A$304,0))&amp;"","No está en el inventario"))</f>
        <v/>
      </c>
      <c r="D177" s="25" t="str">
        <f>IF($A177="","",IFERROR(INDEX('Inventario General'!$I$5:$I$304,MATCH($A177,'Inventario General'!$A$5:$A$304,0))&amp;"","No está en el inventario"))</f>
        <v/>
      </c>
      <c r="E177" s="26"/>
      <c r="F177" s="29"/>
      <c r="G177" s="26"/>
      <c r="H177" s="26"/>
      <c r="I177" s="26"/>
      <c r="J177" s="26"/>
      <c r="K177" s="26"/>
      <c r="L177" s="26"/>
      <c r="M177" s="26"/>
      <c r="N177" s="26"/>
      <c r="O177" s="26"/>
      <c r="P177" s="44"/>
      <c r="Q177" s="26"/>
      <c r="R177" s="27"/>
      <c r="S177" s="26"/>
    </row>
    <row r="178" spans="1:19" x14ac:dyDescent="0.25">
      <c r="A178" s="26"/>
      <c r="B178" s="25" t="str">
        <f>IF($A178="","",IFERROR(INDEX('Inventario General'!$C$5:$C$304,MATCH($A178,'Inventario General'!$A$5:$A$304,0))&amp;"","No está en el inventario"))</f>
        <v/>
      </c>
      <c r="C178" s="25" t="str">
        <f>IF($A178="","",IFERROR(INDEX('Inventario General'!$D$5:$D$304,MATCH($A178,'Inventario General'!$A$5:$A$304,0))&amp;"","No está en el inventario"))</f>
        <v/>
      </c>
      <c r="D178" s="25" t="str">
        <f>IF($A178="","",IFERROR(INDEX('Inventario General'!$I$5:$I$304,MATCH($A178,'Inventario General'!$A$5:$A$304,0))&amp;"","No está en el inventario"))</f>
        <v/>
      </c>
      <c r="E178" s="26"/>
      <c r="F178" s="29"/>
      <c r="G178" s="26"/>
      <c r="H178" s="26"/>
      <c r="I178" s="26"/>
      <c r="J178" s="26"/>
      <c r="K178" s="26"/>
      <c r="L178" s="26"/>
      <c r="M178" s="26"/>
      <c r="N178" s="26"/>
      <c r="O178" s="26"/>
      <c r="P178" s="44"/>
      <c r="Q178" s="26"/>
      <c r="R178" s="27"/>
      <c r="S178" s="26"/>
    </row>
    <row r="179" spans="1:19" x14ac:dyDescent="0.25">
      <c r="A179" s="26"/>
      <c r="B179" s="25" t="str">
        <f>IF($A179="","",IFERROR(INDEX('Inventario General'!$C$5:$C$304,MATCH($A179,'Inventario General'!$A$5:$A$304,0))&amp;"","No está en el inventario"))</f>
        <v/>
      </c>
      <c r="C179" s="25" t="str">
        <f>IF($A179="","",IFERROR(INDEX('Inventario General'!$D$5:$D$304,MATCH($A179,'Inventario General'!$A$5:$A$304,0))&amp;"","No está en el inventario"))</f>
        <v/>
      </c>
      <c r="D179" s="25" t="str">
        <f>IF($A179="","",IFERROR(INDEX('Inventario General'!$I$5:$I$304,MATCH($A179,'Inventario General'!$A$5:$A$304,0))&amp;"","No está en el inventario"))</f>
        <v/>
      </c>
      <c r="E179" s="26"/>
      <c r="F179" s="29"/>
      <c r="G179" s="26"/>
      <c r="H179" s="26"/>
      <c r="I179" s="26"/>
      <c r="J179" s="26"/>
      <c r="K179" s="26"/>
      <c r="L179" s="26"/>
      <c r="M179" s="26"/>
      <c r="N179" s="26"/>
      <c r="O179" s="26"/>
      <c r="P179" s="44"/>
      <c r="Q179" s="26"/>
      <c r="R179" s="27"/>
      <c r="S179" s="26"/>
    </row>
    <row r="180" spans="1:19" x14ac:dyDescent="0.25">
      <c r="A180" s="26"/>
      <c r="B180" s="25" t="str">
        <f>IF($A180="","",IFERROR(INDEX('Inventario General'!$C$5:$C$304,MATCH($A180,'Inventario General'!$A$5:$A$304,0))&amp;"","No está en el inventario"))</f>
        <v/>
      </c>
      <c r="C180" s="25" t="str">
        <f>IF($A180="","",IFERROR(INDEX('Inventario General'!$D$5:$D$304,MATCH($A180,'Inventario General'!$A$5:$A$304,0))&amp;"","No está en el inventario"))</f>
        <v/>
      </c>
      <c r="D180" s="25" t="str">
        <f>IF($A180="","",IFERROR(INDEX('Inventario General'!$I$5:$I$304,MATCH($A180,'Inventario General'!$A$5:$A$304,0))&amp;"","No está en el inventario"))</f>
        <v/>
      </c>
      <c r="E180" s="26"/>
      <c r="F180" s="29"/>
      <c r="G180" s="26"/>
      <c r="H180" s="26"/>
      <c r="I180" s="26"/>
      <c r="J180" s="26"/>
      <c r="K180" s="26"/>
      <c r="L180" s="26"/>
      <c r="M180" s="26"/>
      <c r="N180" s="26"/>
      <c r="O180" s="26"/>
      <c r="P180" s="44"/>
      <c r="Q180" s="26"/>
      <c r="R180" s="27"/>
      <c r="S180" s="26"/>
    </row>
    <row r="181" spans="1:19" x14ac:dyDescent="0.25">
      <c r="A181" s="26"/>
      <c r="B181" s="25" t="str">
        <f>IF($A181="","",IFERROR(INDEX('Inventario General'!$C$5:$C$304,MATCH($A181,'Inventario General'!$A$5:$A$304,0))&amp;"","No está en el inventario"))</f>
        <v/>
      </c>
      <c r="C181" s="25" t="str">
        <f>IF($A181="","",IFERROR(INDEX('Inventario General'!$D$5:$D$304,MATCH($A181,'Inventario General'!$A$5:$A$304,0))&amp;"","No está en el inventario"))</f>
        <v/>
      </c>
      <c r="D181" s="25" t="str">
        <f>IF($A181="","",IFERROR(INDEX('Inventario General'!$I$5:$I$304,MATCH($A181,'Inventario General'!$A$5:$A$304,0))&amp;"","No está en el inventario"))</f>
        <v/>
      </c>
      <c r="E181" s="26"/>
      <c r="F181" s="29"/>
      <c r="G181" s="26"/>
      <c r="H181" s="26"/>
      <c r="I181" s="26"/>
      <c r="J181" s="26"/>
      <c r="K181" s="26"/>
      <c r="L181" s="26"/>
      <c r="M181" s="26"/>
      <c r="N181" s="26"/>
      <c r="O181" s="26"/>
      <c r="P181" s="44"/>
      <c r="Q181" s="26"/>
      <c r="R181" s="27"/>
      <c r="S181" s="26"/>
    </row>
    <row r="182" spans="1:19" x14ac:dyDescent="0.25">
      <c r="A182" s="26"/>
      <c r="B182" s="25" t="str">
        <f>IF($A182="","",IFERROR(INDEX('Inventario General'!$C$5:$C$304,MATCH($A182,'Inventario General'!$A$5:$A$304,0))&amp;"","No está en el inventario"))</f>
        <v/>
      </c>
      <c r="C182" s="25" t="str">
        <f>IF($A182="","",IFERROR(INDEX('Inventario General'!$D$5:$D$304,MATCH($A182,'Inventario General'!$A$5:$A$304,0))&amp;"","No está en el inventario"))</f>
        <v/>
      </c>
      <c r="D182" s="25" t="str">
        <f>IF($A182="","",IFERROR(INDEX('Inventario General'!$I$5:$I$304,MATCH($A182,'Inventario General'!$A$5:$A$304,0))&amp;"","No está en el inventario"))</f>
        <v/>
      </c>
      <c r="E182" s="26"/>
      <c r="F182" s="29"/>
      <c r="G182" s="26"/>
      <c r="H182" s="26"/>
      <c r="I182" s="26"/>
      <c r="J182" s="26"/>
      <c r="K182" s="26"/>
      <c r="L182" s="26"/>
      <c r="M182" s="26"/>
      <c r="N182" s="26"/>
      <c r="O182" s="26"/>
      <c r="P182" s="44"/>
      <c r="Q182" s="26"/>
      <c r="R182" s="27"/>
      <c r="S182" s="26"/>
    </row>
    <row r="183" spans="1:19" x14ac:dyDescent="0.25">
      <c r="A183" s="26"/>
      <c r="B183" s="25" t="str">
        <f>IF($A183="","",IFERROR(INDEX('Inventario General'!$C$5:$C$304,MATCH($A183,'Inventario General'!$A$5:$A$304,0))&amp;"","No está en el inventario"))</f>
        <v/>
      </c>
      <c r="C183" s="25" t="str">
        <f>IF($A183="","",IFERROR(INDEX('Inventario General'!$D$5:$D$304,MATCH($A183,'Inventario General'!$A$5:$A$304,0))&amp;"","No está en el inventario"))</f>
        <v/>
      </c>
      <c r="D183" s="25" t="str">
        <f>IF($A183="","",IFERROR(INDEX('Inventario General'!$I$5:$I$304,MATCH($A183,'Inventario General'!$A$5:$A$304,0))&amp;"","No está en el inventario"))</f>
        <v/>
      </c>
      <c r="E183" s="26"/>
      <c r="F183" s="29"/>
      <c r="G183" s="26"/>
      <c r="H183" s="26"/>
      <c r="I183" s="26"/>
      <c r="J183" s="26"/>
      <c r="K183" s="26"/>
      <c r="L183" s="26"/>
      <c r="M183" s="26"/>
      <c r="N183" s="26"/>
      <c r="O183" s="26"/>
      <c r="P183" s="44"/>
      <c r="Q183" s="26"/>
      <c r="R183" s="27"/>
      <c r="S183" s="26"/>
    </row>
    <row r="184" spans="1:19" x14ac:dyDescent="0.25">
      <c r="A184" s="26"/>
      <c r="B184" s="25" t="str">
        <f>IF($A184="","",IFERROR(INDEX('Inventario General'!$C$5:$C$304,MATCH($A184,'Inventario General'!$A$5:$A$304,0))&amp;"","No está en el inventario"))</f>
        <v/>
      </c>
      <c r="C184" s="25" t="str">
        <f>IF($A184="","",IFERROR(INDEX('Inventario General'!$D$5:$D$304,MATCH($A184,'Inventario General'!$A$5:$A$304,0))&amp;"","No está en el inventario"))</f>
        <v/>
      </c>
      <c r="D184" s="25" t="str">
        <f>IF($A184="","",IFERROR(INDEX('Inventario General'!$I$5:$I$304,MATCH($A184,'Inventario General'!$A$5:$A$304,0))&amp;"","No está en el inventario"))</f>
        <v/>
      </c>
      <c r="E184" s="26"/>
      <c r="F184" s="29"/>
      <c r="G184" s="26"/>
      <c r="H184" s="26"/>
      <c r="I184" s="26"/>
      <c r="J184" s="26"/>
      <c r="K184" s="26"/>
      <c r="L184" s="26"/>
      <c r="M184" s="26"/>
      <c r="N184" s="26"/>
      <c r="O184" s="26"/>
      <c r="P184" s="44"/>
      <c r="Q184" s="26"/>
      <c r="R184" s="27"/>
      <c r="S184" s="26"/>
    </row>
    <row r="185" spans="1:19" x14ac:dyDescent="0.25">
      <c r="A185" s="26"/>
      <c r="B185" s="25" t="str">
        <f>IF($A185="","",IFERROR(INDEX('Inventario General'!$C$5:$C$304,MATCH($A185,'Inventario General'!$A$5:$A$304,0))&amp;"","No está en el inventario"))</f>
        <v/>
      </c>
      <c r="C185" s="25" t="str">
        <f>IF($A185="","",IFERROR(INDEX('Inventario General'!$D$5:$D$304,MATCH($A185,'Inventario General'!$A$5:$A$304,0))&amp;"","No está en el inventario"))</f>
        <v/>
      </c>
      <c r="D185" s="25" t="str">
        <f>IF($A185="","",IFERROR(INDEX('Inventario General'!$I$5:$I$304,MATCH($A185,'Inventario General'!$A$5:$A$304,0))&amp;"","No está en el inventario"))</f>
        <v/>
      </c>
      <c r="E185" s="26"/>
      <c r="F185" s="29"/>
      <c r="G185" s="26"/>
      <c r="H185" s="26"/>
      <c r="I185" s="26"/>
      <c r="J185" s="26"/>
      <c r="K185" s="26"/>
      <c r="L185" s="26"/>
      <c r="M185" s="26"/>
      <c r="N185" s="26"/>
      <c r="O185" s="26"/>
      <c r="P185" s="44"/>
      <c r="Q185" s="26"/>
      <c r="R185" s="27"/>
      <c r="S185" s="26"/>
    </row>
    <row r="186" spans="1:19" x14ac:dyDescent="0.25">
      <c r="A186" s="26"/>
      <c r="B186" s="25" t="str">
        <f>IF($A186="","",IFERROR(INDEX('Inventario General'!$C$5:$C$304,MATCH($A186,'Inventario General'!$A$5:$A$304,0))&amp;"","No está en el inventario"))</f>
        <v/>
      </c>
      <c r="C186" s="25" t="str">
        <f>IF($A186="","",IFERROR(INDEX('Inventario General'!$D$5:$D$304,MATCH($A186,'Inventario General'!$A$5:$A$304,0))&amp;"","No está en el inventario"))</f>
        <v/>
      </c>
      <c r="D186" s="25" t="str">
        <f>IF($A186="","",IFERROR(INDEX('Inventario General'!$I$5:$I$304,MATCH($A186,'Inventario General'!$A$5:$A$304,0))&amp;"","No está en el inventario"))</f>
        <v/>
      </c>
      <c r="E186" s="26"/>
      <c r="F186" s="29"/>
      <c r="G186" s="26"/>
      <c r="H186" s="26"/>
      <c r="I186" s="26"/>
      <c r="J186" s="26"/>
      <c r="K186" s="26"/>
      <c r="L186" s="26"/>
      <c r="M186" s="26"/>
      <c r="N186" s="26"/>
      <c r="O186" s="26"/>
      <c r="P186" s="44"/>
      <c r="Q186" s="26"/>
      <c r="R186" s="27"/>
      <c r="S186" s="26"/>
    </row>
    <row r="187" spans="1:19" x14ac:dyDescent="0.25">
      <c r="A187" s="26"/>
      <c r="B187" s="25" t="str">
        <f>IF($A187="","",IFERROR(INDEX('Inventario General'!$C$5:$C$304,MATCH($A187,'Inventario General'!$A$5:$A$304,0))&amp;"","No está en el inventario"))</f>
        <v/>
      </c>
      <c r="C187" s="25" t="str">
        <f>IF($A187="","",IFERROR(INDEX('Inventario General'!$D$5:$D$304,MATCH($A187,'Inventario General'!$A$5:$A$304,0))&amp;"","No está en el inventario"))</f>
        <v/>
      </c>
      <c r="D187" s="25" t="str">
        <f>IF($A187="","",IFERROR(INDEX('Inventario General'!$I$5:$I$304,MATCH($A187,'Inventario General'!$A$5:$A$304,0))&amp;"","No está en el inventario"))</f>
        <v/>
      </c>
      <c r="E187" s="26"/>
      <c r="F187" s="29"/>
      <c r="G187" s="26"/>
      <c r="H187" s="26"/>
      <c r="I187" s="26"/>
      <c r="J187" s="26"/>
      <c r="K187" s="26"/>
      <c r="L187" s="26"/>
      <c r="M187" s="26"/>
      <c r="N187" s="26"/>
      <c r="O187" s="26"/>
      <c r="P187" s="44"/>
      <c r="Q187" s="26"/>
      <c r="R187" s="27"/>
      <c r="S187" s="26"/>
    </row>
    <row r="188" spans="1:19" x14ac:dyDescent="0.25">
      <c r="A188" s="26"/>
      <c r="B188" s="25" t="str">
        <f>IF($A188="","",IFERROR(INDEX('Inventario General'!$C$5:$C$304,MATCH($A188,'Inventario General'!$A$5:$A$304,0))&amp;"","No está en el inventario"))</f>
        <v/>
      </c>
      <c r="C188" s="25" t="str">
        <f>IF($A188="","",IFERROR(INDEX('Inventario General'!$D$5:$D$304,MATCH($A188,'Inventario General'!$A$5:$A$304,0))&amp;"","No está en el inventario"))</f>
        <v/>
      </c>
      <c r="D188" s="25" t="str">
        <f>IF($A188="","",IFERROR(INDEX('Inventario General'!$I$5:$I$304,MATCH($A188,'Inventario General'!$A$5:$A$304,0))&amp;"","No está en el inventario"))</f>
        <v/>
      </c>
      <c r="E188" s="26"/>
      <c r="F188" s="29"/>
      <c r="G188" s="26"/>
      <c r="H188" s="26"/>
      <c r="I188" s="26"/>
      <c r="J188" s="26"/>
      <c r="K188" s="26"/>
      <c r="L188" s="26"/>
      <c r="M188" s="26"/>
      <c r="N188" s="26"/>
      <c r="O188" s="26"/>
      <c r="P188" s="44"/>
      <c r="Q188" s="26"/>
      <c r="R188" s="27"/>
      <c r="S188" s="26"/>
    </row>
    <row r="189" spans="1:19" x14ac:dyDescent="0.25">
      <c r="A189" s="26"/>
      <c r="B189" s="25" t="str">
        <f>IF($A189="","",IFERROR(INDEX('Inventario General'!$C$5:$C$304,MATCH($A189,'Inventario General'!$A$5:$A$304,0))&amp;"","No está en el inventario"))</f>
        <v/>
      </c>
      <c r="C189" s="25" t="str">
        <f>IF($A189="","",IFERROR(INDEX('Inventario General'!$D$5:$D$304,MATCH($A189,'Inventario General'!$A$5:$A$304,0))&amp;"","No está en el inventario"))</f>
        <v/>
      </c>
      <c r="D189" s="25" t="str">
        <f>IF($A189="","",IFERROR(INDEX('Inventario General'!$I$5:$I$304,MATCH($A189,'Inventario General'!$A$5:$A$304,0))&amp;"","No está en el inventario"))</f>
        <v/>
      </c>
      <c r="E189" s="26"/>
      <c r="F189" s="29"/>
      <c r="G189" s="26"/>
      <c r="H189" s="26"/>
      <c r="I189" s="26"/>
      <c r="J189" s="26"/>
      <c r="K189" s="26"/>
      <c r="L189" s="26"/>
      <c r="M189" s="26"/>
      <c r="N189" s="26"/>
      <c r="O189" s="26"/>
      <c r="P189" s="44"/>
      <c r="Q189" s="26"/>
      <c r="R189" s="27"/>
      <c r="S189" s="26"/>
    </row>
    <row r="190" spans="1:19" x14ac:dyDescent="0.25">
      <c r="A190" s="26"/>
      <c r="B190" s="25" t="str">
        <f>IF($A190="","",IFERROR(INDEX('Inventario General'!$C$5:$C$304,MATCH($A190,'Inventario General'!$A$5:$A$304,0))&amp;"","No está en el inventario"))</f>
        <v/>
      </c>
      <c r="C190" s="25" t="str">
        <f>IF($A190="","",IFERROR(INDEX('Inventario General'!$D$5:$D$304,MATCH($A190,'Inventario General'!$A$5:$A$304,0))&amp;"","No está en el inventario"))</f>
        <v/>
      </c>
      <c r="D190" s="25" t="str">
        <f>IF($A190="","",IFERROR(INDEX('Inventario General'!$I$5:$I$304,MATCH($A190,'Inventario General'!$A$5:$A$304,0))&amp;"","No está en el inventario"))</f>
        <v/>
      </c>
      <c r="E190" s="26"/>
      <c r="F190" s="29"/>
      <c r="G190" s="26"/>
      <c r="H190" s="26"/>
      <c r="I190" s="26"/>
      <c r="J190" s="26"/>
      <c r="K190" s="26"/>
      <c r="L190" s="26"/>
      <c r="M190" s="26"/>
      <c r="N190" s="26"/>
      <c r="O190" s="26"/>
      <c r="P190" s="44"/>
      <c r="Q190" s="26"/>
      <c r="R190" s="27"/>
      <c r="S190" s="26"/>
    </row>
    <row r="191" spans="1:19" x14ac:dyDescent="0.25">
      <c r="A191" s="26"/>
      <c r="B191" s="25" t="str">
        <f>IF($A191="","",IFERROR(INDEX('Inventario General'!$C$5:$C$304,MATCH($A191,'Inventario General'!$A$5:$A$304,0))&amp;"","No está en el inventario"))</f>
        <v/>
      </c>
      <c r="C191" s="25" t="str">
        <f>IF($A191="","",IFERROR(INDEX('Inventario General'!$D$5:$D$304,MATCH($A191,'Inventario General'!$A$5:$A$304,0))&amp;"","No está en el inventario"))</f>
        <v/>
      </c>
      <c r="D191" s="25" t="str">
        <f>IF($A191="","",IFERROR(INDEX('Inventario General'!$I$5:$I$304,MATCH($A191,'Inventario General'!$A$5:$A$304,0))&amp;"","No está en el inventario"))</f>
        <v/>
      </c>
      <c r="E191" s="26"/>
      <c r="F191" s="29"/>
      <c r="G191" s="26"/>
      <c r="H191" s="26"/>
      <c r="I191" s="26"/>
      <c r="J191" s="26"/>
      <c r="K191" s="26"/>
      <c r="L191" s="26"/>
      <c r="M191" s="26"/>
      <c r="N191" s="26"/>
      <c r="O191" s="26"/>
      <c r="P191" s="44"/>
      <c r="Q191" s="26"/>
      <c r="R191" s="27"/>
      <c r="S191" s="26"/>
    </row>
    <row r="192" spans="1:19" x14ac:dyDescent="0.25">
      <c r="A192" s="26"/>
      <c r="B192" s="25" t="str">
        <f>IF($A192="","",IFERROR(INDEX('Inventario General'!$C$5:$C$304,MATCH($A192,'Inventario General'!$A$5:$A$304,0))&amp;"","No está en el inventario"))</f>
        <v/>
      </c>
      <c r="C192" s="25" t="str">
        <f>IF($A192="","",IFERROR(INDEX('Inventario General'!$D$5:$D$304,MATCH($A192,'Inventario General'!$A$5:$A$304,0))&amp;"","No está en el inventario"))</f>
        <v/>
      </c>
      <c r="D192" s="25" t="str">
        <f>IF($A192="","",IFERROR(INDEX('Inventario General'!$I$5:$I$304,MATCH($A192,'Inventario General'!$A$5:$A$304,0))&amp;"","No está en el inventario"))</f>
        <v/>
      </c>
      <c r="E192" s="26"/>
      <c r="F192" s="29"/>
      <c r="G192" s="26"/>
      <c r="H192" s="26"/>
      <c r="I192" s="26"/>
      <c r="J192" s="26"/>
      <c r="K192" s="26"/>
      <c r="L192" s="26"/>
      <c r="M192" s="26"/>
      <c r="N192" s="26"/>
      <c r="O192" s="26"/>
      <c r="P192" s="44"/>
      <c r="Q192" s="26"/>
      <c r="R192" s="27"/>
      <c r="S192" s="26"/>
    </row>
    <row r="193" spans="1:19" x14ac:dyDescent="0.25">
      <c r="A193" s="26"/>
      <c r="B193" s="25" t="str">
        <f>IF($A193="","",IFERROR(INDEX('Inventario General'!$C$5:$C$304,MATCH($A193,'Inventario General'!$A$5:$A$304,0))&amp;"","No está en el inventario"))</f>
        <v/>
      </c>
      <c r="C193" s="25" t="str">
        <f>IF($A193="","",IFERROR(INDEX('Inventario General'!$D$5:$D$304,MATCH($A193,'Inventario General'!$A$5:$A$304,0))&amp;"","No está en el inventario"))</f>
        <v/>
      </c>
      <c r="D193" s="25" t="str">
        <f>IF($A193="","",IFERROR(INDEX('Inventario General'!$I$5:$I$304,MATCH($A193,'Inventario General'!$A$5:$A$304,0))&amp;"","No está en el inventario"))</f>
        <v/>
      </c>
      <c r="E193" s="26"/>
      <c r="F193" s="29"/>
      <c r="G193" s="26"/>
      <c r="H193" s="26"/>
      <c r="I193" s="26"/>
      <c r="J193" s="26"/>
      <c r="K193" s="26"/>
      <c r="L193" s="26"/>
      <c r="M193" s="26"/>
      <c r="N193" s="26"/>
      <c r="O193" s="26"/>
      <c r="P193" s="44"/>
      <c r="Q193" s="26"/>
      <c r="R193" s="27"/>
      <c r="S193" s="26"/>
    </row>
    <row r="194" spans="1:19" x14ac:dyDescent="0.25">
      <c r="A194" s="26"/>
      <c r="B194" s="25" t="str">
        <f>IF($A194="","",IFERROR(INDEX('Inventario General'!$C$5:$C$304,MATCH($A194,'Inventario General'!$A$5:$A$304,0))&amp;"","No está en el inventario"))</f>
        <v/>
      </c>
      <c r="C194" s="25" t="str">
        <f>IF($A194="","",IFERROR(INDEX('Inventario General'!$D$5:$D$304,MATCH($A194,'Inventario General'!$A$5:$A$304,0))&amp;"","No está en el inventario"))</f>
        <v/>
      </c>
      <c r="D194" s="25" t="str">
        <f>IF($A194="","",IFERROR(INDEX('Inventario General'!$I$5:$I$304,MATCH($A194,'Inventario General'!$A$5:$A$304,0))&amp;"","No está en el inventario"))</f>
        <v/>
      </c>
      <c r="E194" s="26"/>
      <c r="F194" s="29"/>
      <c r="G194" s="26"/>
      <c r="H194" s="26"/>
      <c r="I194" s="26"/>
      <c r="J194" s="26"/>
      <c r="K194" s="26"/>
      <c r="L194" s="26"/>
      <c r="M194" s="26"/>
      <c r="N194" s="26"/>
      <c r="O194" s="26"/>
      <c r="P194" s="44"/>
      <c r="Q194" s="26"/>
      <c r="R194" s="27"/>
      <c r="S194" s="26"/>
    </row>
    <row r="195" spans="1:19" x14ac:dyDescent="0.25">
      <c r="A195" s="26"/>
      <c r="B195" s="25" t="str">
        <f>IF($A195="","",IFERROR(INDEX('Inventario General'!$C$5:$C$304,MATCH($A195,'Inventario General'!$A$5:$A$304,0))&amp;"","No está en el inventario"))</f>
        <v/>
      </c>
      <c r="C195" s="25" t="str">
        <f>IF($A195="","",IFERROR(INDEX('Inventario General'!$D$5:$D$304,MATCH($A195,'Inventario General'!$A$5:$A$304,0))&amp;"","No está en el inventario"))</f>
        <v/>
      </c>
      <c r="D195" s="25" t="str">
        <f>IF($A195="","",IFERROR(INDEX('Inventario General'!$I$5:$I$304,MATCH($A195,'Inventario General'!$A$5:$A$304,0))&amp;"","No está en el inventario"))</f>
        <v/>
      </c>
      <c r="E195" s="26"/>
      <c r="F195" s="29"/>
      <c r="G195" s="26"/>
      <c r="H195" s="26"/>
      <c r="I195" s="26"/>
      <c r="J195" s="26"/>
      <c r="K195" s="26"/>
      <c r="L195" s="26"/>
      <c r="M195" s="26"/>
      <c r="N195" s="26"/>
      <c r="O195" s="26"/>
      <c r="P195" s="44"/>
      <c r="Q195" s="26"/>
      <c r="R195" s="27"/>
      <c r="S195" s="26"/>
    </row>
    <row r="196" spans="1:19" x14ac:dyDescent="0.25">
      <c r="A196" s="26"/>
      <c r="B196" s="25" t="str">
        <f>IF($A196="","",IFERROR(INDEX('Inventario General'!$C$5:$C$304,MATCH($A196,'Inventario General'!$A$5:$A$304,0))&amp;"","No está en el inventario"))</f>
        <v/>
      </c>
      <c r="C196" s="25" t="str">
        <f>IF($A196="","",IFERROR(INDEX('Inventario General'!$D$5:$D$304,MATCH($A196,'Inventario General'!$A$5:$A$304,0))&amp;"","No está en el inventario"))</f>
        <v/>
      </c>
      <c r="D196" s="25" t="str">
        <f>IF($A196="","",IFERROR(INDEX('Inventario General'!$I$5:$I$304,MATCH($A196,'Inventario General'!$A$5:$A$304,0))&amp;"","No está en el inventario"))</f>
        <v/>
      </c>
      <c r="E196" s="26"/>
      <c r="F196" s="29"/>
      <c r="G196" s="26"/>
      <c r="H196" s="26"/>
      <c r="I196" s="26"/>
      <c r="J196" s="26"/>
      <c r="K196" s="26"/>
      <c r="L196" s="26"/>
      <c r="M196" s="26"/>
      <c r="N196" s="26"/>
      <c r="O196" s="26"/>
      <c r="P196" s="44"/>
      <c r="Q196" s="26"/>
      <c r="R196" s="27"/>
      <c r="S196" s="26"/>
    </row>
    <row r="197" spans="1:19" x14ac:dyDescent="0.25">
      <c r="A197" s="26"/>
      <c r="B197" s="25" t="str">
        <f>IF($A197="","",IFERROR(INDEX('Inventario General'!$C$5:$C$304,MATCH($A197,'Inventario General'!$A$5:$A$304,0))&amp;"","No está en el inventario"))</f>
        <v/>
      </c>
      <c r="C197" s="25" t="str">
        <f>IF($A197="","",IFERROR(INDEX('Inventario General'!$D$5:$D$304,MATCH($A197,'Inventario General'!$A$5:$A$304,0))&amp;"","No está en el inventario"))</f>
        <v/>
      </c>
      <c r="D197" s="25" t="str">
        <f>IF($A197="","",IFERROR(INDEX('Inventario General'!$I$5:$I$304,MATCH($A197,'Inventario General'!$A$5:$A$304,0))&amp;"","No está en el inventario"))</f>
        <v/>
      </c>
      <c r="E197" s="26"/>
      <c r="F197" s="29"/>
      <c r="G197" s="26"/>
      <c r="H197" s="26"/>
      <c r="I197" s="26"/>
      <c r="J197" s="26"/>
      <c r="K197" s="26"/>
      <c r="L197" s="26"/>
      <c r="M197" s="26"/>
      <c r="N197" s="26"/>
      <c r="O197" s="26"/>
      <c r="P197" s="44"/>
      <c r="Q197" s="26"/>
      <c r="R197" s="27"/>
      <c r="S197" s="26"/>
    </row>
    <row r="198" spans="1:19" x14ac:dyDescent="0.25">
      <c r="A198" s="26"/>
      <c r="B198" s="25" t="str">
        <f>IF($A198="","",IFERROR(INDEX('Inventario General'!$C$5:$C$304,MATCH($A198,'Inventario General'!$A$5:$A$304,0))&amp;"","No está en el inventario"))</f>
        <v/>
      </c>
      <c r="C198" s="25" t="str">
        <f>IF($A198="","",IFERROR(INDEX('Inventario General'!$D$5:$D$304,MATCH($A198,'Inventario General'!$A$5:$A$304,0))&amp;"","No está en el inventario"))</f>
        <v/>
      </c>
      <c r="D198" s="25" t="str">
        <f>IF($A198="","",IFERROR(INDEX('Inventario General'!$I$5:$I$304,MATCH($A198,'Inventario General'!$A$5:$A$304,0))&amp;"","No está en el inventario"))</f>
        <v/>
      </c>
      <c r="E198" s="26"/>
      <c r="F198" s="29"/>
      <c r="G198" s="26"/>
      <c r="H198" s="26"/>
      <c r="I198" s="26"/>
      <c r="J198" s="26"/>
      <c r="K198" s="26"/>
      <c r="L198" s="26"/>
      <c r="M198" s="26"/>
      <c r="N198" s="26"/>
      <c r="O198" s="26"/>
      <c r="P198" s="44"/>
      <c r="Q198" s="26"/>
      <c r="R198" s="27"/>
      <c r="S198" s="26"/>
    </row>
    <row r="199" spans="1:19" x14ac:dyDescent="0.25">
      <c r="A199" s="26"/>
      <c r="B199" s="25" t="str">
        <f>IF($A199="","",IFERROR(INDEX('Inventario General'!$C$5:$C$304,MATCH($A199,'Inventario General'!$A$5:$A$304,0))&amp;"","No está en el inventario"))</f>
        <v/>
      </c>
      <c r="C199" s="25" t="str">
        <f>IF($A199="","",IFERROR(INDEX('Inventario General'!$D$5:$D$304,MATCH($A199,'Inventario General'!$A$5:$A$304,0))&amp;"","No está en el inventario"))</f>
        <v/>
      </c>
      <c r="D199" s="25" t="str">
        <f>IF($A199="","",IFERROR(INDEX('Inventario General'!$I$5:$I$304,MATCH($A199,'Inventario General'!$A$5:$A$304,0))&amp;"","No está en el inventario"))</f>
        <v/>
      </c>
      <c r="E199" s="26"/>
      <c r="F199" s="29"/>
      <c r="G199" s="26"/>
      <c r="H199" s="26"/>
      <c r="I199" s="26"/>
      <c r="J199" s="26"/>
      <c r="K199" s="26"/>
      <c r="L199" s="26"/>
      <c r="M199" s="26"/>
      <c r="N199" s="26"/>
      <c r="O199" s="26"/>
      <c r="P199" s="44"/>
      <c r="Q199" s="26"/>
      <c r="R199" s="27"/>
      <c r="S199" s="26"/>
    </row>
    <row r="200" spans="1:19" x14ac:dyDescent="0.25">
      <c r="A200" s="26"/>
      <c r="B200" s="25" t="str">
        <f>IF($A200="","",IFERROR(INDEX('Inventario General'!$C$5:$C$304,MATCH($A200,'Inventario General'!$A$5:$A$304,0))&amp;"","No está en el inventario"))</f>
        <v/>
      </c>
      <c r="C200" s="25" t="str">
        <f>IF($A200="","",IFERROR(INDEX('Inventario General'!$D$5:$D$304,MATCH($A200,'Inventario General'!$A$5:$A$304,0))&amp;"","No está en el inventario"))</f>
        <v/>
      </c>
      <c r="D200" s="25" t="str">
        <f>IF($A200="","",IFERROR(INDEX('Inventario General'!$I$5:$I$304,MATCH($A200,'Inventario General'!$A$5:$A$304,0))&amp;"","No está en el inventario"))</f>
        <v/>
      </c>
      <c r="E200" s="26"/>
      <c r="F200" s="29"/>
      <c r="G200" s="26"/>
      <c r="H200" s="26"/>
      <c r="I200" s="26"/>
      <c r="J200" s="26"/>
      <c r="K200" s="26"/>
      <c r="L200" s="26"/>
      <c r="M200" s="26"/>
      <c r="N200" s="26"/>
      <c r="O200" s="26"/>
      <c r="P200" s="44"/>
      <c r="Q200" s="26"/>
      <c r="R200" s="27"/>
      <c r="S200" s="26"/>
    </row>
    <row r="201" spans="1:19" x14ac:dyDescent="0.25">
      <c r="A201" s="26"/>
      <c r="B201" s="25" t="str">
        <f>IF($A201="","",IFERROR(INDEX('Inventario General'!$C$5:$C$304,MATCH($A201,'Inventario General'!$A$5:$A$304,0))&amp;"","No está en el inventario"))</f>
        <v/>
      </c>
      <c r="C201" s="25" t="str">
        <f>IF($A201="","",IFERROR(INDEX('Inventario General'!$D$5:$D$304,MATCH($A201,'Inventario General'!$A$5:$A$304,0))&amp;"","No está en el inventario"))</f>
        <v/>
      </c>
      <c r="D201" s="25" t="str">
        <f>IF($A201="","",IFERROR(INDEX('Inventario General'!$I$5:$I$304,MATCH($A201,'Inventario General'!$A$5:$A$304,0))&amp;"","No está en el inventario"))</f>
        <v/>
      </c>
      <c r="E201" s="26"/>
      <c r="F201" s="29"/>
      <c r="G201" s="26"/>
      <c r="H201" s="26"/>
      <c r="I201" s="26"/>
      <c r="J201" s="26"/>
      <c r="K201" s="26"/>
      <c r="L201" s="26"/>
      <c r="M201" s="26"/>
      <c r="N201" s="26"/>
      <c r="O201" s="26"/>
      <c r="P201" s="44"/>
      <c r="Q201" s="26"/>
      <c r="R201" s="27"/>
      <c r="S201" s="26"/>
    </row>
    <row r="202" spans="1:19" x14ac:dyDescent="0.25">
      <c r="A202" s="26"/>
      <c r="B202" s="25" t="str">
        <f>IF($A202="","",IFERROR(INDEX('Inventario General'!$C$5:$C$304,MATCH($A202,'Inventario General'!$A$5:$A$304,0))&amp;"","No está en el inventario"))</f>
        <v/>
      </c>
      <c r="C202" s="25" t="str">
        <f>IF($A202="","",IFERROR(INDEX('Inventario General'!$D$5:$D$304,MATCH($A202,'Inventario General'!$A$5:$A$304,0))&amp;"","No está en el inventario"))</f>
        <v/>
      </c>
      <c r="D202" s="25" t="str">
        <f>IF($A202="","",IFERROR(INDEX('Inventario General'!$I$5:$I$304,MATCH($A202,'Inventario General'!$A$5:$A$304,0))&amp;"","No está en el inventario"))</f>
        <v/>
      </c>
      <c r="E202" s="26"/>
      <c r="F202" s="29"/>
      <c r="G202" s="26"/>
      <c r="H202" s="26"/>
      <c r="I202" s="26"/>
      <c r="J202" s="26"/>
      <c r="K202" s="26"/>
      <c r="L202" s="26"/>
      <c r="M202" s="26"/>
      <c r="N202" s="26"/>
      <c r="O202" s="26"/>
      <c r="P202" s="44"/>
      <c r="Q202" s="26"/>
      <c r="R202" s="27"/>
      <c r="S202" s="26"/>
    </row>
    <row r="203" spans="1:19" x14ac:dyDescent="0.25">
      <c r="A203" s="26"/>
      <c r="B203" s="25" t="str">
        <f>IF($A203="","",IFERROR(INDEX('Inventario General'!$C$5:$C$304,MATCH($A203,'Inventario General'!$A$5:$A$304,0))&amp;"","No está en el inventario"))</f>
        <v/>
      </c>
      <c r="C203" s="25" t="str">
        <f>IF($A203="","",IFERROR(INDEX('Inventario General'!$D$5:$D$304,MATCH($A203,'Inventario General'!$A$5:$A$304,0))&amp;"","No está en el inventario"))</f>
        <v/>
      </c>
      <c r="D203" s="25" t="str">
        <f>IF($A203="","",IFERROR(INDEX('Inventario General'!$I$5:$I$304,MATCH($A203,'Inventario General'!$A$5:$A$304,0))&amp;"","No está en el inventario"))</f>
        <v/>
      </c>
      <c r="E203" s="26"/>
      <c r="F203" s="29"/>
      <c r="G203" s="26"/>
      <c r="H203" s="26"/>
      <c r="I203" s="26"/>
      <c r="J203" s="26"/>
      <c r="K203" s="26"/>
      <c r="L203" s="26"/>
      <c r="M203" s="26"/>
      <c r="N203" s="26"/>
      <c r="O203" s="26"/>
      <c r="P203" s="44"/>
      <c r="Q203" s="26"/>
      <c r="R203" s="27"/>
      <c r="S203" s="26"/>
    </row>
    <row r="204" spans="1:19" x14ac:dyDescent="0.25">
      <c r="A204" s="26"/>
      <c r="B204" s="25" t="str">
        <f>IF($A204="","",IFERROR(INDEX('Inventario General'!$C$5:$C$304,MATCH($A204,'Inventario General'!$A$5:$A$304,0))&amp;"","No está en el inventario"))</f>
        <v/>
      </c>
      <c r="C204" s="25" t="str">
        <f>IF($A204="","",IFERROR(INDEX('Inventario General'!$D$5:$D$304,MATCH($A204,'Inventario General'!$A$5:$A$304,0))&amp;"","No está en el inventario"))</f>
        <v/>
      </c>
      <c r="D204" s="25" t="str">
        <f>IF($A204="","",IFERROR(INDEX('Inventario General'!$I$5:$I$304,MATCH($A204,'Inventario General'!$A$5:$A$304,0))&amp;"","No está en el inventario"))</f>
        <v/>
      </c>
      <c r="E204" s="26"/>
      <c r="F204" s="29"/>
      <c r="G204" s="26"/>
      <c r="H204" s="26"/>
      <c r="I204" s="26"/>
      <c r="J204" s="26"/>
      <c r="K204" s="26"/>
      <c r="L204" s="26"/>
      <c r="M204" s="26"/>
      <c r="N204" s="26"/>
      <c r="O204" s="26"/>
      <c r="P204" s="44"/>
      <c r="Q204" s="26"/>
      <c r="R204" s="27"/>
      <c r="S204" s="26"/>
    </row>
  </sheetData>
  <autoFilter ref="A4:S204" xr:uid="{00000000-0009-0000-0000-000006000000}"/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Código no encontrado" error="El código debe existir primero en la hoja 'Inventario General'." xr:uid="{00000000-0002-0000-0600-000000000000}">
          <x14:formula1>
            <xm:f>'Inventario General'!$A$5:$A$304</xm:f>
          </x14:formula1>
          <x14:formula2>
            <xm:f>0</xm:f>
          </x14:formula2>
          <xm:sqref>A5:A204</xm:sqref>
        </x14:dataValidation>
        <x14:dataValidation type="list" allowBlank="1" showErrorMessage="1" errorTitle="Valor no válido" error="Elija un valor de la lista. Las listas se editan en la hoja 'Listas'." xr:uid="{00000000-0002-0000-0600-000001000000}">
          <x14:formula1>
            <xm:f>OFFSET(Listas!$P$2,0,0,MAX(1,COUNTA(Listas!$P$2:$P$60)),1)</xm:f>
          </x14:formula1>
          <x14:formula2>
            <xm:f>0</xm:f>
          </x14:formula2>
          <xm:sqref>E5:E204</xm:sqref>
        </x14:dataValidation>
        <x14:dataValidation type="list" allowBlank="1" showErrorMessage="1" errorTitle="Valor no válido" error="Elija un valor de la lista. Las listas se editan en la hoja 'Listas'." xr:uid="{00000000-0002-0000-0600-000002000000}">
          <x14:formula1>
            <xm:f>OFFSET(Listas!$G$2,0,0,MAX(1,COUNTA(Listas!$G$2:$G$60)),1)</xm:f>
          </x14:formula1>
          <x14:formula2>
            <xm:f>0</xm:f>
          </x14:formula2>
          <xm:sqref>H5:I204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  <pageSetUpPr fitToPage="1"/>
  </sheetPr>
  <dimension ref="A1:L20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5" sqref="E5"/>
    </sheetView>
  </sheetViews>
  <sheetFormatPr baseColWidth="10" defaultColWidth="8.7109375" defaultRowHeight="15" x14ac:dyDescent="0.25"/>
  <cols>
    <col min="1" max="1" width="18" customWidth="1"/>
    <col min="2" max="2" width="14" customWidth="1"/>
    <col min="3" max="3" width="24" customWidth="1"/>
    <col min="4" max="4" width="22" customWidth="1"/>
    <col min="5" max="5" width="18" customWidth="1"/>
    <col min="6" max="6" width="20" customWidth="1"/>
    <col min="7" max="7" width="26" customWidth="1"/>
    <col min="8" max="8" width="15" customWidth="1"/>
    <col min="9" max="9" width="20" customWidth="1"/>
    <col min="10" max="10" width="14" customWidth="1"/>
    <col min="11" max="11" width="16" customWidth="1"/>
    <col min="12" max="12" width="30" customWidth="1"/>
  </cols>
  <sheetData>
    <row r="1" spans="1:12" ht="18" x14ac:dyDescent="0.25">
      <c r="A1" s="18" t="s">
        <v>255</v>
      </c>
    </row>
    <row r="2" spans="1:12" x14ac:dyDescent="0.25">
      <c r="A2" s="11" t="s">
        <v>256</v>
      </c>
    </row>
    <row r="4" spans="1:12" ht="48" customHeight="1" x14ac:dyDescent="0.25">
      <c r="A4" s="12" t="s">
        <v>175</v>
      </c>
      <c r="B4" s="19" t="s">
        <v>79</v>
      </c>
      <c r="C4" s="19" t="s">
        <v>80</v>
      </c>
      <c r="D4" s="19" t="s">
        <v>176</v>
      </c>
      <c r="E4" s="12" t="s">
        <v>257</v>
      </c>
      <c r="F4" s="12" t="s">
        <v>258</v>
      </c>
      <c r="G4" s="12" t="s">
        <v>259</v>
      </c>
      <c r="H4" s="12" t="s">
        <v>260</v>
      </c>
      <c r="I4" s="12" t="s">
        <v>261</v>
      </c>
      <c r="J4" s="12" t="s">
        <v>262</v>
      </c>
      <c r="K4" s="12" t="s">
        <v>263</v>
      </c>
      <c r="L4" s="12" t="s">
        <v>100</v>
      </c>
    </row>
    <row r="5" spans="1:12" x14ac:dyDescent="0.25">
      <c r="A5" s="20" t="s">
        <v>137</v>
      </c>
      <c r="B5" s="25" t="str">
        <f>IF($A5="","",IFERROR(INDEX('Inventario General'!$C$5:$C$304,MATCH($A5,'Inventario General'!$A$5:$A$304,0))&amp;"","No está en el inventario"))</f>
        <v>HP</v>
      </c>
      <c r="C5" s="25" t="str">
        <f>IF($A5="","",IFERROR(INDEX('Inventario General'!$D$5:$D$304,MATCH($A5,'Inventario General'!$A$5:$A$304,0))&amp;"","No está en el inventario"))</f>
        <v>LaserJet Pro MFP M428fdw</v>
      </c>
      <c r="D5" s="25" t="str">
        <f>IF($A5="","",IFERROR(INDEX('Inventario General'!$I$5:$I$304,MATCH($A5,'Inventario General'!$A$5:$A$304,0))&amp;"","No está en el inventario"))</f>
        <v>Área de Administración</v>
      </c>
      <c r="E5" s="20" t="s">
        <v>138</v>
      </c>
      <c r="F5" s="20" t="s">
        <v>264</v>
      </c>
      <c r="G5" s="20" t="s">
        <v>265</v>
      </c>
      <c r="H5" s="20" t="s">
        <v>266</v>
      </c>
      <c r="I5" s="20" t="s">
        <v>267</v>
      </c>
      <c r="J5" s="42">
        <v>18450</v>
      </c>
      <c r="K5" s="26"/>
      <c r="L5" s="20" t="s">
        <v>129</v>
      </c>
    </row>
    <row r="6" spans="1:12" x14ac:dyDescent="0.25">
      <c r="A6" s="26"/>
      <c r="B6" s="25" t="str">
        <f>IF($A6="","",IFERROR(INDEX('Inventario General'!$C$5:$C$304,MATCH($A6,'Inventario General'!$A$5:$A$304,0))&amp;"","No está en el inventario"))</f>
        <v/>
      </c>
      <c r="C6" s="25" t="str">
        <f>IF($A6="","",IFERROR(INDEX('Inventario General'!$D$5:$D$304,MATCH($A6,'Inventario General'!$A$5:$A$304,0))&amp;"","No está en el inventario"))</f>
        <v/>
      </c>
      <c r="D6" s="25" t="str">
        <f>IF($A6="","",IFERROR(INDEX('Inventario General'!$I$5:$I$304,MATCH($A6,'Inventario General'!$A$5:$A$304,0))&amp;"","No está en el inventario"))</f>
        <v/>
      </c>
      <c r="E6" s="26"/>
      <c r="F6" s="26"/>
      <c r="G6" s="26"/>
      <c r="H6" s="26"/>
      <c r="I6" s="26"/>
      <c r="J6" s="44"/>
      <c r="K6" s="26"/>
      <c r="L6" s="26"/>
    </row>
    <row r="7" spans="1:12" x14ac:dyDescent="0.25">
      <c r="A7" s="26"/>
      <c r="B7" s="25" t="str">
        <f>IF($A7="","",IFERROR(INDEX('Inventario General'!$C$5:$C$304,MATCH($A7,'Inventario General'!$A$5:$A$304,0))&amp;"","No está en el inventario"))</f>
        <v/>
      </c>
      <c r="C7" s="25" t="str">
        <f>IF($A7="","",IFERROR(INDEX('Inventario General'!$D$5:$D$304,MATCH($A7,'Inventario General'!$A$5:$A$304,0))&amp;"","No está en el inventario"))</f>
        <v/>
      </c>
      <c r="D7" s="25" t="str">
        <f>IF($A7="","",IFERROR(INDEX('Inventario General'!$I$5:$I$304,MATCH($A7,'Inventario General'!$A$5:$A$304,0))&amp;"","No está en el inventario"))</f>
        <v/>
      </c>
      <c r="E7" s="26"/>
      <c r="F7" s="26"/>
      <c r="G7" s="26"/>
      <c r="H7" s="26"/>
      <c r="I7" s="26"/>
      <c r="J7" s="44"/>
      <c r="K7" s="26"/>
      <c r="L7" s="26"/>
    </row>
    <row r="8" spans="1:12" x14ac:dyDescent="0.25">
      <c r="A8" s="26"/>
      <c r="B8" s="25" t="str">
        <f>IF($A8="","",IFERROR(INDEX('Inventario General'!$C$5:$C$304,MATCH($A8,'Inventario General'!$A$5:$A$304,0))&amp;"","No está en el inventario"))</f>
        <v/>
      </c>
      <c r="C8" s="25" t="str">
        <f>IF($A8="","",IFERROR(INDEX('Inventario General'!$D$5:$D$304,MATCH($A8,'Inventario General'!$A$5:$A$304,0))&amp;"","No está en el inventario"))</f>
        <v/>
      </c>
      <c r="D8" s="25" t="str">
        <f>IF($A8="","",IFERROR(INDEX('Inventario General'!$I$5:$I$304,MATCH($A8,'Inventario General'!$A$5:$A$304,0))&amp;"","No está en el inventario"))</f>
        <v/>
      </c>
      <c r="E8" s="26"/>
      <c r="F8" s="26"/>
      <c r="G8" s="26"/>
      <c r="H8" s="26"/>
      <c r="I8" s="26"/>
      <c r="J8" s="44"/>
      <c r="K8" s="26"/>
      <c r="L8" s="26"/>
    </row>
    <row r="9" spans="1:12" x14ac:dyDescent="0.25">
      <c r="A9" s="26"/>
      <c r="B9" s="25" t="str">
        <f>IF($A9="","",IFERROR(INDEX('Inventario General'!$C$5:$C$304,MATCH($A9,'Inventario General'!$A$5:$A$304,0))&amp;"","No está en el inventario"))</f>
        <v/>
      </c>
      <c r="C9" s="25" t="str">
        <f>IF($A9="","",IFERROR(INDEX('Inventario General'!$D$5:$D$304,MATCH($A9,'Inventario General'!$A$5:$A$304,0))&amp;"","No está en el inventario"))</f>
        <v/>
      </c>
      <c r="D9" s="25" t="str">
        <f>IF($A9="","",IFERROR(INDEX('Inventario General'!$I$5:$I$304,MATCH($A9,'Inventario General'!$A$5:$A$304,0))&amp;"","No está en el inventario"))</f>
        <v/>
      </c>
      <c r="E9" s="26"/>
      <c r="F9" s="26"/>
      <c r="G9" s="26"/>
      <c r="H9" s="26"/>
      <c r="I9" s="26"/>
      <c r="J9" s="44"/>
      <c r="K9" s="26"/>
      <c r="L9" s="26"/>
    </row>
    <row r="10" spans="1:12" x14ac:dyDescent="0.25">
      <c r="A10" s="26"/>
      <c r="B10" s="25" t="str">
        <f>IF($A10="","",IFERROR(INDEX('Inventario General'!$C$5:$C$304,MATCH($A10,'Inventario General'!$A$5:$A$304,0))&amp;"","No está en el inventario"))</f>
        <v/>
      </c>
      <c r="C10" s="25" t="str">
        <f>IF($A10="","",IFERROR(INDEX('Inventario General'!$D$5:$D$304,MATCH($A10,'Inventario General'!$A$5:$A$304,0))&amp;"","No está en el inventario"))</f>
        <v/>
      </c>
      <c r="D10" s="25" t="str">
        <f>IF($A10="","",IFERROR(INDEX('Inventario General'!$I$5:$I$304,MATCH($A10,'Inventario General'!$A$5:$A$304,0))&amp;"","No está en el inventario"))</f>
        <v/>
      </c>
      <c r="E10" s="26"/>
      <c r="F10" s="26"/>
      <c r="G10" s="26"/>
      <c r="H10" s="26"/>
      <c r="I10" s="26"/>
      <c r="J10" s="44"/>
      <c r="K10" s="26"/>
      <c r="L10" s="26"/>
    </row>
    <row r="11" spans="1:12" x14ac:dyDescent="0.25">
      <c r="A11" s="26"/>
      <c r="B11" s="25" t="str">
        <f>IF($A11="","",IFERROR(INDEX('Inventario General'!$C$5:$C$304,MATCH($A11,'Inventario General'!$A$5:$A$304,0))&amp;"","No está en el inventario"))</f>
        <v/>
      </c>
      <c r="C11" s="25" t="str">
        <f>IF($A11="","",IFERROR(INDEX('Inventario General'!$D$5:$D$304,MATCH($A11,'Inventario General'!$A$5:$A$304,0))&amp;"","No está en el inventario"))</f>
        <v/>
      </c>
      <c r="D11" s="25" t="str">
        <f>IF($A11="","",IFERROR(INDEX('Inventario General'!$I$5:$I$304,MATCH($A11,'Inventario General'!$A$5:$A$304,0))&amp;"","No está en el inventario"))</f>
        <v/>
      </c>
      <c r="E11" s="26"/>
      <c r="F11" s="26"/>
      <c r="G11" s="26"/>
      <c r="H11" s="26"/>
      <c r="I11" s="26"/>
      <c r="J11" s="44"/>
      <c r="K11" s="26"/>
      <c r="L11" s="26"/>
    </row>
    <row r="12" spans="1:12" x14ac:dyDescent="0.25">
      <c r="A12" s="26"/>
      <c r="B12" s="25" t="str">
        <f>IF($A12="","",IFERROR(INDEX('Inventario General'!$C$5:$C$304,MATCH($A12,'Inventario General'!$A$5:$A$304,0))&amp;"","No está en el inventario"))</f>
        <v/>
      </c>
      <c r="C12" s="25" t="str">
        <f>IF($A12="","",IFERROR(INDEX('Inventario General'!$D$5:$D$304,MATCH($A12,'Inventario General'!$A$5:$A$304,0))&amp;"","No está en el inventario"))</f>
        <v/>
      </c>
      <c r="D12" s="25" t="str">
        <f>IF($A12="","",IFERROR(INDEX('Inventario General'!$I$5:$I$304,MATCH($A12,'Inventario General'!$A$5:$A$304,0))&amp;"","No está en el inventario"))</f>
        <v/>
      </c>
      <c r="E12" s="26"/>
      <c r="F12" s="26"/>
      <c r="G12" s="26"/>
      <c r="H12" s="26"/>
      <c r="I12" s="26"/>
      <c r="J12" s="44"/>
      <c r="K12" s="26"/>
      <c r="L12" s="26"/>
    </row>
    <row r="13" spans="1:12" x14ac:dyDescent="0.25">
      <c r="A13" s="26"/>
      <c r="B13" s="25" t="str">
        <f>IF($A13="","",IFERROR(INDEX('Inventario General'!$C$5:$C$304,MATCH($A13,'Inventario General'!$A$5:$A$304,0))&amp;"","No está en el inventario"))</f>
        <v/>
      </c>
      <c r="C13" s="25" t="str">
        <f>IF($A13="","",IFERROR(INDEX('Inventario General'!$D$5:$D$304,MATCH($A13,'Inventario General'!$A$5:$A$304,0))&amp;"","No está en el inventario"))</f>
        <v/>
      </c>
      <c r="D13" s="25" t="str">
        <f>IF($A13="","",IFERROR(INDEX('Inventario General'!$I$5:$I$304,MATCH($A13,'Inventario General'!$A$5:$A$304,0))&amp;"","No está en el inventario"))</f>
        <v/>
      </c>
      <c r="E13" s="26"/>
      <c r="F13" s="26"/>
      <c r="G13" s="26"/>
      <c r="H13" s="26"/>
      <c r="I13" s="26"/>
      <c r="J13" s="44"/>
      <c r="K13" s="26"/>
      <c r="L13" s="26"/>
    </row>
    <row r="14" spans="1:12" x14ac:dyDescent="0.25">
      <c r="A14" s="26"/>
      <c r="B14" s="25" t="str">
        <f>IF($A14="","",IFERROR(INDEX('Inventario General'!$C$5:$C$304,MATCH($A14,'Inventario General'!$A$5:$A$304,0))&amp;"","No está en el inventario"))</f>
        <v/>
      </c>
      <c r="C14" s="25" t="str">
        <f>IF($A14="","",IFERROR(INDEX('Inventario General'!$D$5:$D$304,MATCH($A14,'Inventario General'!$A$5:$A$304,0))&amp;"","No está en el inventario"))</f>
        <v/>
      </c>
      <c r="D14" s="25" t="str">
        <f>IF($A14="","",IFERROR(INDEX('Inventario General'!$I$5:$I$304,MATCH($A14,'Inventario General'!$A$5:$A$304,0))&amp;"","No está en el inventario"))</f>
        <v/>
      </c>
      <c r="E14" s="26"/>
      <c r="F14" s="26"/>
      <c r="G14" s="26"/>
      <c r="H14" s="26"/>
      <c r="I14" s="26"/>
      <c r="J14" s="44"/>
      <c r="K14" s="26"/>
      <c r="L14" s="26"/>
    </row>
    <row r="15" spans="1:12" x14ac:dyDescent="0.25">
      <c r="A15" s="26"/>
      <c r="B15" s="25" t="str">
        <f>IF($A15="","",IFERROR(INDEX('Inventario General'!$C$5:$C$304,MATCH($A15,'Inventario General'!$A$5:$A$304,0))&amp;"","No está en el inventario"))</f>
        <v/>
      </c>
      <c r="C15" s="25" t="str">
        <f>IF($A15="","",IFERROR(INDEX('Inventario General'!$D$5:$D$304,MATCH($A15,'Inventario General'!$A$5:$A$304,0))&amp;"","No está en el inventario"))</f>
        <v/>
      </c>
      <c r="D15" s="25" t="str">
        <f>IF($A15="","",IFERROR(INDEX('Inventario General'!$I$5:$I$304,MATCH($A15,'Inventario General'!$A$5:$A$304,0))&amp;"","No está en el inventario"))</f>
        <v/>
      </c>
      <c r="E15" s="26"/>
      <c r="F15" s="26"/>
      <c r="G15" s="26"/>
      <c r="H15" s="26"/>
      <c r="I15" s="26"/>
      <c r="J15" s="44"/>
      <c r="K15" s="26"/>
      <c r="L15" s="26"/>
    </row>
    <row r="16" spans="1:12" x14ac:dyDescent="0.25">
      <c r="A16" s="26"/>
      <c r="B16" s="25" t="str">
        <f>IF($A16="","",IFERROR(INDEX('Inventario General'!$C$5:$C$304,MATCH($A16,'Inventario General'!$A$5:$A$304,0))&amp;"","No está en el inventario"))</f>
        <v/>
      </c>
      <c r="C16" s="25" t="str">
        <f>IF($A16="","",IFERROR(INDEX('Inventario General'!$D$5:$D$304,MATCH($A16,'Inventario General'!$A$5:$A$304,0))&amp;"","No está en el inventario"))</f>
        <v/>
      </c>
      <c r="D16" s="25" t="str">
        <f>IF($A16="","",IFERROR(INDEX('Inventario General'!$I$5:$I$304,MATCH($A16,'Inventario General'!$A$5:$A$304,0))&amp;"","No está en el inventario"))</f>
        <v/>
      </c>
      <c r="E16" s="26"/>
      <c r="F16" s="26"/>
      <c r="G16" s="26"/>
      <c r="H16" s="26"/>
      <c r="I16" s="26"/>
      <c r="J16" s="44"/>
      <c r="K16" s="26"/>
      <c r="L16" s="26"/>
    </row>
    <row r="17" spans="1:12" x14ac:dyDescent="0.25">
      <c r="A17" s="26"/>
      <c r="B17" s="25" t="str">
        <f>IF($A17="","",IFERROR(INDEX('Inventario General'!$C$5:$C$304,MATCH($A17,'Inventario General'!$A$5:$A$304,0))&amp;"","No está en el inventario"))</f>
        <v/>
      </c>
      <c r="C17" s="25" t="str">
        <f>IF($A17="","",IFERROR(INDEX('Inventario General'!$D$5:$D$304,MATCH($A17,'Inventario General'!$A$5:$A$304,0))&amp;"","No está en el inventario"))</f>
        <v/>
      </c>
      <c r="D17" s="25" t="str">
        <f>IF($A17="","",IFERROR(INDEX('Inventario General'!$I$5:$I$304,MATCH($A17,'Inventario General'!$A$5:$A$304,0))&amp;"","No está en el inventario"))</f>
        <v/>
      </c>
      <c r="E17" s="26"/>
      <c r="F17" s="26"/>
      <c r="G17" s="26"/>
      <c r="H17" s="26"/>
      <c r="I17" s="26"/>
      <c r="J17" s="44"/>
      <c r="K17" s="26"/>
      <c r="L17" s="26"/>
    </row>
    <row r="18" spans="1:12" x14ac:dyDescent="0.25">
      <c r="A18" s="26"/>
      <c r="B18" s="25" t="str">
        <f>IF($A18="","",IFERROR(INDEX('Inventario General'!$C$5:$C$304,MATCH($A18,'Inventario General'!$A$5:$A$304,0))&amp;"","No está en el inventario"))</f>
        <v/>
      </c>
      <c r="C18" s="25" t="str">
        <f>IF($A18="","",IFERROR(INDEX('Inventario General'!$D$5:$D$304,MATCH($A18,'Inventario General'!$A$5:$A$304,0))&amp;"","No está en el inventario"))</f>
        <v/>
      </c>
      <c r="D18" s="25" t="str">
        <f>IF($A18="","",IFERROR(INDEX('Inventario General'!$I$5:$I$304,MATCH($A18,'Inventario General'!$A$5:$A$304,0))&amp;"","No está en el inventario"))</f>
        <v/>
      </c>
      <c r="E18" s="26"/>
      <c r="F18" s="26"/>
      <c r="G18" s="26"/>
      <c r="H18" s="26"/>
      <c r="I18" s="26"/>
      <c r="J18" s="44"/>
      <c r="K18" s="26"/>
      <c r="L18" s="26"/>
    </row>
    <row r="19" spans="1:12" x14ac:dyDescent="0.25">
      <c r="A19" s="26"/>
      <c r="B19" s="25" t="str">
        <f>IF($A19="","",IFERROR(INDEX('Inventario General'!$C$5:$C$304,MATCH($A19,'Inventario General'!$A$5:$A$304,0))&amp;"","No está en el inventario"))</f>
        <v/>
      </c>
      <c r="C19" s="25" t="str">
        <f>IF($A19="","",IFERROR(INDEX('Inventario General'!$D$5:$D$304,MATCH($A19,'Inventario General'!$A$5:$A$304,0))&amp;"","No está en el inventario"))</f>
        <v/>
      </c>
      <c r="D19" s="25" t="str">
        <f>IF($A19="","",IFERROR(INDEX('Inventario General'!$I$5:$I$304,MATCH($A19,'Inventario General'!$A$5:$A$304,0))&amp;"","No está en el inventario"))</f>
        <v/>
      </c>
      <c r="E19" s="26"/>
      <c r="F19" s="26"/>
      <c r="G19" s="26"/>
      <c r="H19" s="26"/>
      <c r="I19" s="26"/>
      <c r="J19" s="44"/>
      <c r="K19" s="26"/>
      <c r="L19" s="26"/>
    </row>
    <row r="20" spans="1:12" x14ac:dyDescent="0.25">
      <c r="A20" s="26"/>
      <c r="B20" s="25" t="str">
        <f>IF($A20="","",IFERROR(INDEX('Inventario General'!$C$5:$C$304,MATCH($A20,'Inventario General'!$A$5:$A$304,0))&amp;"","No está en el inventario"))</f>
        <v/>
      </c>
      <c r="C20" s="25" t="str">
        <f>IF($A20="","",IFERROR(INDEX('Inventario General'!$D$5:$D$304,MATCH($A20,'Inventario General'!$A$5:$A$304,0))&amp;"","No está en el inventario"))</f>
        <v/>
      </c>
      <c r="D20" s="25" t="str">
        <f>IF($A20="","",IFERROR(INDEX('Inventario General'!$I$5:$I$304,MATCH($A20,'Inventario General'!$A$5:$A$304,0))&amp;"","No está en el inventario"))</f>
        <v/>
      </c>
      <c r="E20" s="26"/>
      <c r="F20" s="26"/>
      <c r="G20" s="26"/>
      <c r="H20" s="26"/>
      <c r="I20" s="26"/>
      <c r="J20" s="44"/>
      <c r="K20" s="26"/>
      <c r="L20" s="26"/>
    </row>
    <row r="21" spans="1:12" x14ac:dyDescent="0.25">
      <c r="A21" s="26"/>
      <c r="B21" s="25" t="str">
        <f>IF($A21="","",IFERROR(INDEX('Inventario General'!$C$5:$C$304,MATCH($A21,'Inventario General'!$A$5:$A$304,0))&amp;"","No está en el inventario"))</f>
        <v/>
      </c>
      <c r="C21" s="25" t="str">
        <f>IF($A21="","",IFERROR(INDEX('Inventario General'!$D$5:$D$304,MATCH($A21,'Inventario General'!$A$5:$A$304,0))&amp;"","No está en el inventario"))</f>
        <v/>
      </c>
      <c r="D21" s="25" t="str">
        <f>IF($A21="","",IFERROR(INDEX('Inventario General'!$I$5:$I$304,MATCH($A21,'Inventario General'!$A$5:$A$304,0))&amp;"","No está en el inventario"))</f>
        <v/>
      </c>
      <c r="E21" s="26"/>
      <c r="F21" s="26"/>
      <c r="G21" s="26"/>
      <c r="H21" s="26"/>
      <c r="I21" s="26"/>
      <c r="J21" s="44"/>
      <c r="K21" s="26"/>
      <c r="L21" s="26"/>
    </row>
    <row r="22" spans="1:12" x14ac:dyDescent="0.25">
      <c r="A22" s="26"/>
      <c r="B22" s="25" t="str">
        <f>IF($A22="","",IFERROR(INDEX('Inventario General'!$C$5:$C$304,MATCH($A22,'Inventario General'!$A$5:$A$304,0))&amp;"","No está en el inventario"))</f>
        <v/>
      </c>
      <c r="C22" s="25" t="str">
        <f>IF($A22="","",IFERROR(INDEX('Inventario General'!$D$5:$D$304,MATCH($A22,'Inventario General'!$A$5:$A$304,0))&amp;"","No está en el inventario"))</f>
        <v/>
      </c>
      <c r="D22" s="25" t="str">
        <f>IF($A22="","",IFERROR(INDEX('Inventario General'!$I$5:$I$304,MATCH($A22,'Inventario General'!$A$5:$A$304,0))&amp;"","No está en el inventario"))</f>
        <v/>
      </c>
      <c r="E22" s="26"/>
      <c r="F22" s="26"/>
      <c r="G22" s="26"/>
      <c r="H22" s="26"/>
      <c r="I22" s="26"/>
      <c r="J22" s="44"/>
      <c r="K22" s="26"/>
      <c r="L22" s="26"/>
    </row>
    <row r="23" spans="1:12" x14ac:dyDescent="0.25">
      <c r="A23" s="26"/>
      <c r="B23" s="25" t="str">
        <f>IF($A23="","",IFERROR(INDEX('Inventario General'!$C$5:$C$304,MATCH($A23,'Inventario General'!$A$5:$A$304,0))&amp;"","No está en el inventario"))</f>
        <v/>
      </c>
      <c r="C23" s="25" t="str">
        <f>IF($A23="","",IFERROR(INDEX('Inventario General'!$D$5:$D$304,MATCH($A23,'Inventario General'!$A$5:$A$304,0))&amp;"","No está en el inventario"))</f>
        <v/>
      </c>
      <c r="D23" s="25" t="str">
        <f>IF($A23="","",IFERROR(INDEX('Inventario General'!$I$5:$I$304,MATCH($A23,'Inventario General'!$A$5:$A$304,0))&amp;"","No está en el inventario"))</f>
        <v/>
      </c>
      <c r="E23" s="26"/>
      <c r="F23" s="26"/>
      <c r="G23" s="26"/>
      <c r="H23" s="26"/>
      <c r="I23" s="26"/>
      <c r="J23" s="44"/>
      <c r="K23" s="26"/>
      <c r="L23" s="26"/>
    </row>
    <row r="24" spans="1:12" x14ac:dyDescent="0.25">
      <c r="A24" s="26"/>
      <c r="B24" s="25" t="str">
        <f>IF($A24="","",IFERROR(INDEX('Inventario General'!$C$5:$C$304,MATCH($A24,'Inventario General'!$A$5:$A$304,0))&amp;"","No está en el inventario"))</f>
        <v/>
      </c>
      <c r="C24" s="25" t="str">
        <f>IF($A24="","",IFERROR(INDEX('Inventario General'!$D$5:$D$304,MATCH($A24,'Inventario General'!$A$5:$A$304,0))&amp;"","No está en el inventario"))</f>
        <v/>
      </c>
      <c r="D24" s="25" t="str">
        <f>IF($A24="","",IFERROR(INDEX('Inventario General'!$I$5:$I$304,MATCH($A24,'Inventario General'!$A$5:$A$304,0))&amp;"","No está en el inventario"))</f>
        <v/>
      </c>
      <c r="E24" s="26"/>
      <c r="F24" s="26"/>
      <c r="G24" s="26"/>
      <c r="H24" s="26"/>
      <c r="I24" s="26"/>
      <c r="J24" s="44"/>
      <c r="K24" s="26"/>
      <c r="L24" s="26"/>
    </row>
    <row r="25" spans="1:12" x14ac:dyDescent="0.25">
      <c r="A25" s="26"/>
      <c r="B25" s="25" t="str">
        <f>IF($A25="","",IFERROR(INDEX('Inventario General'!$C$5:$C$304,MATCH($A25,'Inventario General'!$A$5:$A$304,0))&amp;"","No está en el inventario"))</f>
        <v/>
      </c>
      <c r="C25" s="25" t="str">
        <f>IF($A25="","",IFERROR(INDEX('Inventario General'!$D$5:$D$304,MATCH($A25,'Inventario General'!$A$5:$A$304,0))&amp;"","No está en el inventario"))</f>
        <v/>
      </c>
      <c r="D25" s="25" t="str">
        <f>IF($A25="","",IFERROR(INDEX('Inventario General'!$I$5:$I$304,MATCH($A25,'Inventario General'!$A$5:$A$304,0))&amp;"","No está en el inventario"))</f>
        <v/>
      </c>
      <c r="E25" s="26"/>
      <c r="F25" s="26"/>
      <c r="G25" s="26"/>
      <c r="H25" s="26"/>
      <c r="I25" s="26"/>
      <c r="J25" s="44"/>
      <c r="K25" s="26"/>
      <c r="L25" s="26"/>
    </row>
    <row r="26" spans="1:12" x14ac:dyDescent="0.25">
      <c r="A26" s="26"/>
      <c r="B26" s="25" t="str">
        <f>IF($A26="","",IFERROR(INDEX('Inventario General'!$C$5:$C$304,MATCH($A26,'Inventario General'!$A$5:$A$304,0))&amp;"","No está en el inventario"))</f>
        <v/>
      </c>
      <c r="C26" s="25" t="str">
        <f>IF($A26="","",IFERROR(INDEX('Inventario General'!$D$5:$D$304,MATCH($A26,'Inventario General'!$A$5:$A$304,0))&amp;"","No está en el inventario"))</f>
        <v/>
      </c>
      <c r="D26" s="25" t="str">
        <f>IF($A26="","",IFERROR(INDEX('Inventario General'!$I$5:$I$304,MATCH($A26,'Inventario General'!$A$5:$A$304,0))&amp;"","No está en el inventario"))</f>
        <v/>
      </c>
      <c r="E26" s="26"/>
      <c r="F26" s="26"/>
      <c r="G26" s="26"/>
      <c r="H26" s="26"/>
      <c r="I26" s="26"/>
      <c r="J26" s="44"/>
      <c r="K26" s="26"/>
      <c r="L26" s="26"/>
    </row>
    <row r="27" spans="1:12" x14ac:dyDescent="0.25">
      <c r="A27" s="26"/>
      <c r="B27" s="25" t="str">
        <f>IF($A27="","",IFERROR(INDEX('Inventario General'!$C$5:$C$304,MATCH($A27,'Inventario General'!$A$5:$A$304,0))&amp;"","No está en el inventario"))</f>
        <v/>
      </c>
      <c r="C27" s="25" t="str">
        <f>IF($A27="","",IFERROR(INDEX('Inventario General'!$D$5:$D$304,MATCH($A27,'Inventario General'!$A$5:$A$304,0))&amp;"","No está en el inventario"))</f>
        <v/>
      </c>
      <c r="D27" s="25" t="str">
        <f>IF($A27="","",IFERROR(INDEX('Inventario General'!$I$5:$I$304,MATCH($A27,'Inventario General'!$A$5:$A$304,0))&amp;"","No está en el inventario"))</f>
        <v/>
      </c>
      <c r="E27" s="26"/>
      <c r="F27" s="26"/>
      <c r="G27" s="26"/>
      <c r="H27" s="26"/>
      <c r="I27" s="26"/>
      <c r="J27" s="44"/>
      <c r="K27" s="26"/>
      <c r="L27" s="26"/>
    </row>
    <row r="28" spans="1:12" x14ac:dyDescent="0.25">
      <c r="A28" s="26"/>
      <c r="B28" s="25" t="str">
        <f>IF($A28="","",IFERROR(INDEX('Inventario General'!$C$5:$C$304,MATCH($A28,'Inventario General'!$A$5:$A$304,0))&amp;"","No está en el inventario"))</f>
        <v/>
      </c>
      <c r="C28" s="25" t="str">
        <f>IF($A28="","",IFERROR(INDEX('Inventario General'!$D$5:$D$304,MATCH($A28,'Inventario General'!$A$5:$A$304,0))&amp;"","No está en el inventario"))</f>
        <v/>
      </c>
      <c r="D28" s="25" t="str">
        <f>IF($A28="","",IFERROR(INDEX('Inventario General'!$I$5:$I$304,MATCH($A28,'Inventario General'!$A$5:$A$304,0))&amp;"","No está en el inventario"))</f>
        <v/>
      </c>
      <c r="E28" s="26"/>
      <c r="F28" s="26"/>
      <c r="G28" s="26"/>
      <c r="H28" s="26"/>
      <c r="I28" s="26"/>
      <c r="J28" s="44"/>
      <c r="K28" s="26"/>
      <c r="L28" s="26"/>
    </row>
    <row r="29" spans="1:12" x14ac:dyDescent="0.25">
      <c r="A29" s="26"/>
      <c r="B29" s="25" t="str">
        <f>IF($A29="","",IFERROR(INDEX('Inventario General'!$C$5:$C$304,MATCH($A29,'Inventario General'!$A$5:$A$304,0))&amp;"","No está en el inventario"))</f>
        <v/>
      </c>
      <c r="C29" s="25" t="str">
        <f>IF($A29="","",IFERROR(INDEX('Inventario General'!$D$5:$D$304,MATCH($A29,'Inventario General'!$A$5:$A$304,0))&amp;"","No está en el inventario"))</f>
        <v/>
      </c>
      <c r="D29" s="25" t="str">
        <f>IF($A29="","",IFERROR(INDEX('Inventario General'!$I$5:$I$304,MATCH($A29,'Inventario General'!$A$5:$A$304,0))&amp;"","No está en el inventario"))</f>
        <v/>
      </c>
      <c r="E29" s="26"/>
      <c r="F29" s="26"/>
      <c r="G29" s="26"/>
      <c r="H29" s="26"/>
      <c r="I29" s="26"/>
      <c r="J29" s="44"/>
      <c r="K29" s="26"/>
      <c r="L29" s="26"/>
    </row>
    <row r="30" spans="1:12" x14ac:dyDescent="0.25">
      <c r="A30" s="26"/>
      <c r="B30" s="25" t="str">
        <f>IF($A30="","",IFERROR(INDEX('Inventario General'!$C$5:$C$304,MATCH($A30,'Inventario General'!$A$5:$A$304,0))&amp;"","No está en el inventario"))</f>
        <v/>
      </c>
      <c r="C30" s="25" t="str">
        <f>IF($A30="","",IFERROR(INDEX('Inventario General'!$D$5:$D$304,MATCH($A30,'Inventario General'!$A$5:$A$304,0))&amp;"","No está en el inventario"))</f>
        <v/>
      </c>
      <c r="D30" s="25" t="str">
        <f>IF($A30="","",IFERROR(INDEX('Inventario General'!$I$5:$I$304,MATCH($A30,'Inventario General'!$A$5:$A$304,0))&amp;"","No está en el inventario"))</f>
        <v/>
      </c>
      <c r="E30" s="26"/>
      <c r="F30" s="26"/>
      <c r="G30" s="26"/>
      <c r="H30" s="26"/>
      <c r="I30" s="26"/>
      <c r="J30" s="44"/>
      <c r="K30" s="26"/>
      <c r="L30" s="26"/>
    </row>
    <row r="31" spans="1:12" x14ac:dyDescent="0.25">
      <c r="A31" s="26"/>
      <c r="B31" s="25" t="str">
        <f>IF($A31="","",IFERROR(INDEX('Inventario General'!$C$5:$C$304,MATCH($A31,'Inventario General'!$A$5:$A$304,0))&amp;"","No está en el inventario"))</f>
        <v/>
      </c>
      <c r="C31" s="25" t="str">
        <f>IF($A31="","",IFERROR(INDEX('Inventario General'!$D$5:$D$304,MATCH($A31,'Inventario General'!$A$5:$A$304,0))&amp;"","No está en el inventario"))</f>
        <v/>
      </c>
      <c r="D31" s="25" t="str">
        <f>IF($A31="","",IFERROR(INDEX('Inventario General'!$I$5:$I$304,MATCH($A31,'Inventario General'!$A$5:$A$304,0))&amp;"","No está en el inventario"))</f>
        <v/>
      </c>
      <c r="E31" s="26"/>
      <c r="F31" s="26"/>
      <c r="G31" s="26"/>
      <c r="H31" s="26"/>
      <c r="I31" s="26"/>
      <c r="J31" s="44"/>
      <c r="K31" s="26"/>
      <c r="L31" s="26"/>
    </row>
    <row r="32" spans="1:12" x14ac:dyDescent="0.25">
      <c r="A32" s="26"/>
      <c r="B32" s="25" t="str">
        <f>IF($A32="","",IFERROR(INDEX('Inventario General'!$C$5:$C$304,MATCH($A32,'Inventario General'!$A$5:$A$304,0))&amp;"","No está en el inventario"))</f>
        <v/>
      </c>
      <c r="C32" s="25" t="str">
        <f>IF($A32="","",IFERROR(INDEX('Inventario General'!$D$5:$D$304,MATCH($A32,'Inventario General'!$A$5:$A$304,0))&amp;"","No está en el inventario"))</f>
        <v/>
      </c>
      <c r="D32" s="25" t="str">
        <f>IF($A32="","",IFERROR(INDEX('Inventario General'!$I$5:$I$304,MATCH($A32,'Inventario General'!$A$5:$A$304,0))&amp;"","No está en el inventario"))</f>
        <v/>
      </c>
      <c r="E32" s="26"/>
      <c r="F32" s="26"/>
      <c r="G32" s="26"/>
      <c r="H32" s="26"/>
      <c r="I32" s="26"/>
      <c r="J32" s="44"/>
      <c r="K32" s="26"/>
      <c r="L32" s="26"/>
    </row>
    <row r="33" spans="1:12" x14ac:dyDescent="0.25">
      <c r="A33" s="26"/>
      <c r="B33" s="25" t="str">
        <f>IF($A33="","",IFERROR(INDEX('Inventario General'!$C$5:$C$304,MATCH($A33,'Inventario General'!$A$5:$A$304,0))&amp;"","No está en el inventario"))</f>
        <v/>
      </c>
      <c r="C33" s="25" t="str">
        <f>IF($A33="","",IFERROR(INDEX('Inventario General'!$D$5:$D$304,MATCH($A33,'Inventario General'!$A$5:$A$304,0))&amp;"","No está en el inventario"))</f>
        <v/>
      </c>
      <c r="D33" s="25" t="str">
        <f>IF($A33="","",IFERROR(INDEX('Inventario General'!$I$5:$I$304,MATCH($A33,'Inventario General'!$A$5:$A$304,0))&amp;"","No está en el inventario"))</f>
        <v/>
      </c>
      <c r="E33" s="26"/>
      <c r="F33" s="26"/>
      <c r="G33" s="26"/>
      <c r="H33" s="26"/>
      <c r="I33" s="26"/>
      <c r="J33" s="44"/>
      <c r="K33" s="26"/>
      <c r="L33" s="26"/>
    </row>
    <row r="34" spans="1:12" x14ac:dyDescent="0.25">
      <c r="A34" s="26"/>
      <c r="B34" s="25" t="str">
        <f>IF($A34="","",IFERROR(INDEX('Inventario General'!$C$5:$C$304,MATCH($A34,'Inventario General'!$A$5:$A$304,0))&amp;"","No está en el inventario"))</f>
        <v/>
      </c>
      <c r="C34" s="25" t="str">
        <f>IF($A34="","",IFERROR(INDEX('Inventario General'!$D$5:$D$304,MATCH($A34,'Inventario General'!$A$5:$A$304,0))&amp;"","No está en el inventario"))</f>
        <v/>
      </c>
      <c r="D34" s="25" t="str">
        <f>IF($A34="","",IFERROR(INDEX('Inventario General'!$I$5:$I$304,MATCH($A34,'Inventario General'!$A$5:$A$304,0))&amp;"","No está en el inventario"))</f>
        <v/>
      </c>
      <c r="E34" s="26"/>
      <c r="F34" s="26"/>
      <c r="G34" s="26"/>
      <c r="H34" s="26"/>
      <c r="I34" s="26"/>
      <c r="J34" s="44"/>
      <c r="K34" s="26"/>
      <c r="L34" s="26"/>
    </row>
    <row r="35" spans="1:12" x14ac:dyDescent="0.25">
      <c r="A35" s="26"/>
      <c r="B35" s="25" t="str">
        <f>IF($A35="","",IFERROR(INDEX('Inventario General'!$C$5:$C$304,MATCH($A35,'Inventario General'!$A$5:$A$304,0))&amp;"","No está en el inventario"))</f>
        <v/>
      </c>
      <c r="C35" s="25" t="str">
        <f>IF($A35="","",IFERROR(INDEX('Inventario General'!$D$5:$D$304,MATCH($A35,'Inventario General'!$A$5:$A$304,0))&amp;"","No está en el inventario"))</f>
        <v/>
      </c>
      <c r="D35" s="25" t="str">
        <f>IF($A35="","",IFERROR(INDEX('Inventario General'!$I$5:$I$304,MATCH($A35,'Inventario General'!$A$5:$A$304,0))&amp;"","No está en el inventario"))</f>
        <v/>
      </c>
      <c r="E35" s="26"/>
      <c r="F35" s="26"/>
      <c r="G35" s="26"/>
      <c r="H35" s="26"/>
      <c r="I35" s="26"/>
      <c r="J35" s="44"/>
      <c r="K35" s="26"/>
      <c r="L35" s="26"/>
    </row>
    <row r="36" spans="1:12" x14ac:dyDescent="0.25">
      <c r="A36" s="26"/>
      <c r="B36" s="25" t="str">
        <f>IF($A36="","",IFERROR(INDEX('Inventario General'!$C$5:$C$304,MATCH($A36,'Inventario General'!$A$5:$A$304,0))&amp;"","No está en el inventario"))</f>
        <v/>
      </c>
      <c r="C36" s="25" t="str">
        <f>IF($A36="","",IFERROR(INDEX('Inventario General'!$D$5:$D$304,MATCH($A36,'Inventario General'!$A$5:$A$304,0))&amp;"","No está en el inventario"))</f>
        <v/>
      </c>
      <c r="D36" s="25" t="str">
        <f>IF($A36="","",IFERROR(INDEX('Inventario General'!$I$5:$I$304,MATCH($A36,'Inventario General'!$A$5:$A$304,0))&amp;"","No está en el inventario"))</f>
        <v/>
      </c>
      <c r="E36" s="26"/>
      <c r="F36" s="26"/>
      <c r="G36" s="26"/>
      <c r="H36" s="26"/>
      <c r="I36" s="26"/>
      <c r="J36" s="44"/>
      <c r="K36" s="26"/>
      <c r="L36" s="26"/>
    </row>
    <row r="37" spans="1:12" x14ac:dyDescent="0.25">
      <c r="A37" s="26"/>
      <c r="B37" s="25" t="str">
        <f>IF($A37="","",IFERROR(INDEX('Inventario General'!$C$5:$C$304,MATCH($A37,'Inventario General'!$A$5:$A$304,0))&amp;"","No está en el inventario"))</f>
        <v/>
      </c>
      <c r="C37" s="25" t="str">
        <f>IF($A37="","",IFERROR(INDEX('Inventario General'!$D$5:$D$304,MATCH($A37,'Inventario General'!$A$5:$A$304,0))&amp;"","No está en el inventario"))</f>
        <v/>
      </c>
      <c r="D37" s="25" t="str">
        <f>IF($A37="","",IFERROR(INDEX('Inventario General'!$I$5:$I$304,MATCH($A37,'Inventario General'!$A$5:$A$304,0))&amp;"","No está en el inventario"))</f>
        <v/>
      </c>
      <c r="E37" s="26"/>
      <c r="F37" s="26"/>
      <c r="G37" s="26"/>
      <c r="H37" s="26"/>
      <c r="I37" s="26"/>
      <c r="J37" s="44"/>
      <c r="K37" s="26"/>
      <c r="L37" s="26"/>
    </row>
    <row r="38" spans="1:12" x14ac:dyDescent="0.25">
      <c r="A38" s="26"/>
      <c r="B38" s="25" t="str">
        <f>IF($A38="","",IFERROR(INDEX('Inventario General'!$C$5:$C$304,MATCH($A38,'Inventario General'!$A$5:$A$304,0))&amp;"","No está en el inventario"))</f>
        <v/>
      </c>
      <c r="C38" s="25" t="str">
        <f>IF($A38="","",IFERROR(INDEX('Inventario General'!$D$5:$D$304,MATCH($A38,'Inventario General'!$A$5:$A$304,0))&amp;"","No está en el inventario"))</f>
        <v/>
      </c>
      <c r="D38" s="25" t="str">
        <f>IF($A38="","",IFERROR(INDEX('Inventario General'!$I$5:$I$304,MATCH($A38,'Inventario General'!$A$5:$A$304,0))&amp;"","No está en el inventario"))</f>
        <v/>
      </c>
      <c r="E38" s="26"/>
      <c r="F38" s="26"/>
      <c r="G38" s="26"/>
      <c r="H38" s="26"/>
      <c r="I38" s="26"/>
      <c r="J38" s="44"/>
      <c r="K38" s="26"/>
      <c r="L38" s="26"/>
    </row>
    <row r="39" spans="1:12" x14ac:dyDescent="0.25">
      <c r="A39" s="26"/>
      <c r="B39" s="25" t="str">
        <f>IF($A39="","",IFERROR(INDEX('Inventario General'!$C$5:$C$304,MATCH($A39,'Inventario General'!$A$5:$A$304,0))&amp;"","No está en el inventario"))</f>
        <v/>
      </c>
      <c r="C39" s="25" t="str">
        <f>IF($A39="","",IFERROR(INDEX('Inventario General'!$D$5:$D$304,MATCH($A39,'Inventario General'!$A$5:$A$304,0))&amp;"","No está en el inventario"))</f>
        <v/>
      </c>
      <c r="D39" s="25" t="str">
        <f>IF($A39="","",IFERROR(INDEX('Inventario General'!$I$5:$I$304,MATCH($A39,'Inventario General'!$A$5:$A$304,0))&amp;"","No está en el inventario"))</f>
        <v/>
      </c>
      <c r="E39" s="26"/>
      <c r="F39" s="26"/>
      <c r="G39" s="26"/>
      <c r="H39" s="26"/>
      <c r="I39" s="26"/>
      <c r="J39" s="44"/>
      <c r="K39" s="26"/>
      <c r="L39" s="26"/>
    </row>
    <row r="40" spans="1:12" x14ac:dyDescent="0.25">
      <c r="A40" s="26"/>
      <c r="B40" s="25" t="str">
        <f>IF($A40="","",IFERROR(INDEX('Inventario General'!$C$5:$C$304,MATCH($A40,'Inventario General'!$A$5:$A$304,0))&amp;"","No está en el inventario"))</f>
        <v/>
      </c>
      <c r="C40" s="25" t="str">
        <f>IF($A40="","",IFERROR(INDEX('Inventario General'!$D$5:$D$304,MATCH($A40,'Inventario General'!$A$5:$A$304,0))&amp;"","No está en el inventario"))</f>
        <v/>
      </c>
      <c r="D40" s="25" t="str">
        <f>IF($A40="","",IFERROR(INDEX('Inventario General'!$I$5:$I$304,MATCH($A40,'Inventario General'!$A$5:$A$304,0))&amp;"","No está en el inventario"))</f>
        <v/>
      </c>
      <c r="E40" s="26"/>
      <c r="F40" s="26"/>
      <c r="G40" s="26"/>
      <c r="H40" s="26"/>
      <c r="I40" s="26"/>
      <c r="J40" s="44"/>
      <c r="K40" s="26"/>
      <c r="L40" s="26"/>
    </row>
    <row r="41" spans="1:12" x14ac:dyDescent="0.25">
      <c r="A41" s="26"/>
      <c r="B41" s="25" t="str">
        <f>IF($A41="","",IFERROR(INDEX('Inventario General'!$C$5:$C$304,MATCH($A41,'Inventario General'!$A$5:$A$304,0))&amp;"","No está en el inventario"))</f>
        <v/>
      </c>
      <c r="C41" s="25" t="str">
        <f>IF($A41="","",IFERROR(INDEX('Inventario General'!$D$5:$D$304,MATCH($A41,'Inventario General'!$A$5:$A$304,0))&amp;"","No está en el inventario"))</f>
        <v/>
      </c>
      <c r="D41" s="25" t="str">
        <f>IF($A41="","",IFERROR(INDEX('Inventario General'!$I$5:$I$304,MATCH($A41,'Inventario General'!$A$5:$A$304,0))&amp;"","No está en el inventario"))</f>
        <v/>
      </c>
      <c r="E41" s="26"/>
      <c r="F41" s="26"/>
      <c r="G41" s="26"/>
      <c r="H41" s="26"/>
      <c r="I41" s="26"/>
      <c r="J41" s="44"/>
      <c r="K41" s="26"/>
      <c r="L41" s="26"/>
    </row>
    <row r="42" spans="1:12" x14ac:dyDescent="0.25">
      <c r="A42" s="26"/>
      <c r="B42" s="25" t="str">
        <f>IF($A42="","",IFERROR(INDEX('Inventario General'!$C$5:$C$304,MATCH($A42,'Inventario General'!$A$5:$A$304,0))&amp;"","No está en el inventario"))</f>
        <v/>
      </c>
      <c r="C42" s="25" t="str">
        <f>IF($A42="","",IFERROR(INDEX('Inventario General'!$D$5:$D$304,MATCH($A42,'Inventario General'!$A$5:$A$304,0))&amp;"","No está en el inventario"))</f>
        <v/>
      </c>
      <c r="D42" s="25" t="str">
        <f>IF($A42="","",IFERROR(INDEX('Inventario General'!$I$5:$I$304,MATCH($A42,'Inventario General'!$A$5:$A$304,0))&amp;"","No está en el inventario"))</f>
        <v/>
      </c>
      <c r="E42" s="26"/>
      <c r="F42" s="26"/>
      <c r="G42" s="26"/>
      <c r="H42" s="26"/>
      <c r="I42" s="26"/>
      <c r="J42" s="44"/>
      <c r="K42" s="26"/>
      <c r="L42" s="26"/>
    </row>
    <row r="43" spans="1:12" x14ac:dyDescent="0.25">
      <c r="A43" s="26"/>
      <c r="B43" s="25" t="str">
        <f>IF($A43="","",IFERROR(INDEX('Inventario General'!$C$5:$C$304,MATCH($A43,'Inventario General'!$A$5:$A$304,0))&amp;"","No está en el inventario"))</f>
        <v/>
      </c>
      <c r="C43" s="25" t="str">
        <f>IF($A43="","",IFERROR(INDEX('Inventario General'!$D$5:$D$304,MATCH($A43,'Inventario General'!$A$5:$A$304,0))&amp;"","No está en el inventario"))</f>
        <v/>
      </c>
      <c r="D43" s="25" t="str">
        <f>IF($A43="","",IFERROR(INDEX('Inventario General'!$I$5:$I$304,MATCH($A43,'Inventario General'!$A$5:$A$304,0))&amp;"","No está en el inventario"))</f>
        <v/>
      </c>
      <c r="E43" s="26"/>
      <c r="F43" s="26"/>
      <c r="G43" s="26"/>
      <c r="H43" s="26"/>
      <c r="I43" s="26"/>
      <c r="J43" s="44"/>
      <c r="K43" s="26"/>
      <c r="L43" s="26"/>
    </row>
    <row r="44" spans="1:12" x14ac:dyDescent="0.25">
      <c r="A44" s="26"/>
      <c r="B44" s="25" t="str">
        <f>IF($A44="","",IFERROR(INDEX('Inventario General'!$C$5:$C$304,MATCH($A44,'Inventario General'!$A$5:$A$304,0))&amp;"","No está en el inventario"))</f>
        <v/>
      </c>
      <c r="C44" s="25" t="str">
        <f>IF($A44="","",IFERROR(INDEX('Inventario General'!$D$5:$D$304,MATCH($A44,'Inventario General'!$A$5:$A$304,0))&amp;"","No está en el inventario"))</f>
        <v/>
      </c>
      <c r="D44" s="25" t="str">
        <f>IF($A44="","",IFERROR(INDEX('Inventario General'!$I$5:$I$304,MATCH($A44,'Inventario General'!$A$5:$A$304,0))&amp;"","No está en el inventario"))</f>
        <v/>
      </c>
      <c r="E44" s="26"/>
      <c r="F44" s="26"/>
      <c r="G44" s="26"/>
      <c r="H44" s="26"/>
      <c r="I44" s="26"/>
      <c r="J44" s="44"/>
      <c r="K44" s="26"/>
      <c r="L44" s="26"/>
    </row>
    <row r="45" spans="1:12" x14ac:dyDescent="0.25">
      <c r="A45" s="26"/>
      <c r="B45" s="25" t="str">
        <f>IF($A45="","",IFERROR(INDEX('Inventario General'!$C$5:$C$304,MATCH($A45,'Inventario General'!$A$5:$A$304,0))&amp;"","No está en el inventario"))</f>
        <v/>
      </c>
      <c r="C45" s="25" t="str">
        <f>IF($A45="","",IFERROR(INDEX('Inventario General'!$D$5:$D$304,MATCH($A45,'Inventario General'!$A$5:$A$304,0))&amp;"","No está en el inventario"))</f>
        <v/>
      </c>
      <c r="D45" s="25" t="str">
        <f>IF($A45="","",IFERROR(INDEX('Inventario General'!$I$5:$I$304,MATCH($A45,'Inventario General'!$A$5:$A$304,0))&amp;"","No está en el inventario"))</f>
        <v/>
      </c>
      <c r="E45" s="26"/>
      <c r="F45" s="26"/>
      <c r="G45" s="26"/>
      <c r="H45" s="26"/>
      <c r="I45" s="26"/>
      <c r="J45" s="44"/>
      <c r="K45" s="26"/>
      <c r="L45" s="26"/>
    </row>
    <row r="46" spans="1:12" x14ac:dyDescent="0.25">
      <c r="A46" s="26"/>
      <c r="B46" s="25" t="str">
        <f>IF($A46="","",IFERROR(INDEX('Inventario General'!$C$5:$C$304,MATCH($A46,'Inventario General'!$A$5:$A$304,0))&amp;"","No está en el inventario"))</f>
        <v/>
      </c>
      <c r="C46" s="25" t="str">
        <f>IF($A46="","",IFERROR(INDEX('Inventario General'!$D$5:$D$304,MATCH($A46,'Inventario General'!$A$5:$A$304,0))&amp;"","No está en el inventario"))</f>
        <v/>
      </c>
      <c r="D46" s="25" t="str">
        <f>IF($A46="","",IFERROR(INDEX('Inventario General'!$I$5:$I$304,MATCH($A46,'Inventario General'!$A$5:$A$304,0))&amp;"","No está en el inventario"))</f>
        <v/>
      </c>
      <c r="E46" s="26"/>
      <c r="F46" s="26"/>
      <c r="G46" s="26"/>
      <c r="H46" s="26"/>
      <c r="I46" s="26"/>
      <c r="J46" s="44"/>
      <c r="K46" s="26"/>
      <c r="L46" s="26"/>
    </row>
    <row r="47" spans="1:12" x14ac:dyDescent="0.25">
      <c r="A47" s="26"/>
      <c r="B47" s="25" t="str">
        <f>IF($A47="","",IFERROR(INDEX('Inventario General'!$C$5:$C$304,MATCH($A47,'Inventario General'!$A$5:$A$304,0))&amp;"","No está en el inventario"))</f>
        <v/>
      </c>
      <c r="C47" s="25" t="str">
        <f>IF($A47="","",IFERROR(INDEX('Inventario General'!$D$5:$D$304,MATCH($A47,'Inventario General'!$A$5:$A$304,0))&amp;"","No está en el inventario"))</f>
        <v/>
      </c>
      <c r="D47" s="25" t="str">
        <f>IF($A47="","",IFERROR(INDEX('Inventario General'!$I$5:$I$304,MATCH($A47,'Inventario General'!$A$5:$A$304,0))&amp;"","No está en el inventario"))</f>
        <v/>
      </c>
      <c r="E47" s="26"/>
      <c r="F47" s="26"/>
      <c r="G47" s="26"/>
      <c r="H47" s="26"/>
      <c r="I47" s="26"/>
      <c r="J47" s="44"/>
      <c r="K47" s="26"/>
      <c r="L47" s="26"/>
    </row>
    <row r="48" spans="1:12" x14ac:dyDescent="0.25">
      <c r="A48" s="26"/>
      <c r="B48" s="25" t="str">
        <f>IF($A48="","",IFERROR(INDEX('Inventario General'!$C$5:$C$304,MATCH($A48,'Inventario General'!$A$5:$A$304,0))&amp;"","No está en el inventario"))</f>
        <v/>
      </c>
      <c r="C48" s="25" t="str">
        <f>IF($A48="","",IFERROR(INDEX('Inventario General'!$D$5:$D$304,MATCH($A48,'Inventario General'!$A$5:$A$304,0))&amp;"","No está en el inventario"))</f>
        <v/>
      </c>
      <c r="D48" s="25" t="str">
        <f>IF($A48="","",IFERROR(INDEX('Inventario General'!$I$5:$I$304,MATCH($A48,'Inventario General'!$A$5:$A$304,0))&amp;"","No está en el inventario"))</f>
        <v/>
      </c>
      <c r="E48" s="26"/>
      <c r="F48" s="26"/>
      <c r="G48" s="26"/>
      <c r="H48" s="26"/>
      <c r="I48" s="26"/>
      <c r="J48" s="44"/>
      <c r="K48" s="26"/>
      <c r="L48" s="26"/>
    </row>
    <row r="49" spans="1:12" x14ac:dyDescent="0.25">
      <c r="A49" s="26"/>
      <c r="B49" s="25" t="str">
        <f>IF($A49="","",IFERROR(INDEX('Inventario General'!$C$5:$C$304,MATCH($A49,'Inventario General'!$A$5:$A$304,0))&amp;"","No está en el inventario"))</f>
        <v/>
      </c>
      <c r="C49" s="25" t="str">
        <f>IF($A49="","",IFERROR(INDEX('Inventario General'!$D$5:$D$304,MATCH($A49,'Inventario General'!$A$5:$A$304,0))&amp;"","No está en el inventario"))</f>
        <v/>
      </c>
      <c r="D49" s="25" t="str">
        <f>IF($A49="","",IFERROR(INDEX('Inventario General'!$I$5:$I$304,MATCH($A49,'Inventario General'!$A$5:$A$304,0))&amp;"","No está en el inventario"))</f>
        <v/>
      </c>
      <c r="E49" s="26"/>
      <c r="F49" s="26"/>
      <c r="G49" s="26"/>
      <c r="H49" s="26"/>
      <c r="I49" s="26"/>
      <c r="J49" s="44"/>
      <c r="K49" s="26"/>
      <c r="L49" s="26"/>
    </row>
    <row r="50" spans="1:12" x14ac:dyDescent="0.25">
      <c r="A50" s="26"/>
      <c r="B50" s="25" t="str">
        <f>IF($A50="","",IFERROR(INDEX('Inventario General'!$C$5:$C$304,MATCH($A50,'Inventario General'!$A$5:$A$304,0))&amp;"","No está en el inventario"))</f>
        <v/>
      </c>
      <c r="C50" s="25" t="str">
        <f>IF($A50="","",IFERROR(INDEX('Inventario General'!$D$5:$D$304,MATCH($A50,'Inventario General'!$A$5:$A$304,0))&amp;"","No está en el inventario"))</f>
        <v/>
      </c>
      <c r="D50" s="25" t="str">
        <f>IF($A50="","",IFERROR(INDEX('Inventario General'!$I$5:$I$304,MATCH($A50,'Inventario General'!$A$5:$A$304,0))&amp;"","No está en el inventario"))</f>
        <v/>
      </c>
      <c r="E50" s="26"/>
      <c r="F50" s="26"/>
      <c r="G50" s="26"/>
      <c r="H50" s="26"/>
      <c r="I50" s="26"/>
      <c r="J50" s="44"/>
      <c r="K50" s="26"/>
      <c r="L50" s="26"/>
    </row>
    <row r="51" spans="1:12" x14ac:dyDescent="0.25">
      <c r="A51" s="26"/>
      <c r="B51" s="25" t="str">
        <f>IF($A51="","",IFERROR(INDEX('Inventario General'!$C$5:$C$304,MATCH($A51,'Inventario General'!$A$5:$A$304,0))&amp;"","No está en el inventario"))</f>
        <v/>
      </c>
      <c r="C51" s="25" t="str">
        <f>IF($A51="","",IFERROR(INDEX('Inventario General'!$D$5:$D$304,MATCH($A51,'Inventario General'!$A$5:$A$304,0))&amp;"","No está en el inventario"))</f>
        <v/>
      </c>
      <c r="D51" s="25" t="str">
        <f>IF($A51="","",IFERROR(INDEX('Inventario General'!$I$5:$I$304,MATCH($A51,'Inventario General'!$A$5:$A$304,0))&amp;"","No está en el inventario"))</f>
        <v/>
      </c>
      <c r="E51" s="26"/>
      <c r="F51" s="26"/>
      <c r="G51" s="26"/>
      <c r="H51" s="26"/>
      <c r="I51" s="26"/>
      <c r="J51" s="44"/>
      <c r="K51" s="26"/>
      <c r="L51" s="26"/>
    </row>
    <row r="52" spans="1:12" x14ac:dyDescent="0.25">
      <c r="A52" s="26"/>
      <c r="B52" s="25" t="str">
        <f>IF($A52="","",IFERROR(INDEX('Inventario General'!$C$5:$C$304,MATCH($A52,'Inventario General'!$A$5:$A$304,0))&amp;"","No está en el inventario"))</f>
        <v/>
      </c>
      <c r="C52" s="25" t="str">
        <f>IF($A52="","",IFERROR(INDEX('Inventario General'!$D$5:$D$304,MATCH($A52,'Inventario General'!$A$5:$A$304,0))&amp;"","No está en el inventario"))</f>
        <v/>
      </c>
      <c r="D52" s="25" t="str">
        <f>IF($A52="","",IFERROR(INDEX('Inventario General'!$I$5:$I$304,MATCH($A52,'Inventario General'!$A$5:$A$304,0))&amp;"","No está en el inventario"))</f>
        <v/>
      </c>
      <c r="E52" s="26"/>
      <c r="F52" s="26"/>
      <c r="G52" s="26"/>
      <c r="H52" s="26"/>
      <c r="I52" s="26"/>
      <c r="J52" s="44"/>
      <c r="K52" s="26"/>
      <c r="L52" s="26"/>
    </row>
    <row r="53" spans="1:12" x14ac:dyDescent="0.25">
      <c r="A53" s="26"/>
      <c r="B53" s="25" t="str">
        <f>IF($A53="","",IFERROR(INDEX('Inventario General'!$C$5:$C$304,MATCH($A53,'Inventario General'!$A$5:$A$304,0))&amp;"","No está en el inventario"))</f>
        <v/>
      </c>
      <c r="C53" s="25" t="str">
        <f>IF($A53="","",IFERROR(INDEX('Inventario General'!$D$5:$D$304,MATCH($A53,'Inventario General'!$A$5:$A$304,0))&amp;"","No está en el inventario"))</f>
        <v/>
      </c>
      <c r="D53" s="25" t="str">
        <f>IF($A53="","",IFERROR(INDEX('Inventario General'!$I$5:$I$304,MATCH($A53,'Inventario General'!$A$5:$A$304,0))&amp;"","No está en el inventario"))</f>
        <v/>
      </c>
      <c r="E53" s="26"/>
      <c r="F53" s="26"/>
      <c r="G53" s="26"/>
      <c r="H53" s="26"/>
      <c r="I53" s="26"/>
      <c r="J53" s="44"/>
      <c r="K53" s="26"/>
      <c r="L53" s="26"/>
    </row>
    <row r="54" spans="1:12" x14ac:dyDescent="0.25">
      <c r="A54" s="26"/>
      <c r="B54" s="25" t="str">
        <f>IF($A54="","",IFERROR(INDEX('Inventario General'!$C$5:$C$304,MATCH($A54,'Inventario General'!$A$5:$A$304,0))&amp;"","No está en el inventario"))</f>
        <v/>
      </c>
      <c r="C54" s="25" t="str">
        <f>IF($A54="","",IFERROR(INDEX('Inventario General'!$D$5:$D$304,MATCH($A54,'Inventario General'!$A$5:$A$304,0))&amp;"","No está en el inventario"))</f>
        <v/>
      </c>
      <c r="D54" s="25" t="str">
        <f>IF($A54="","",IFERROR(INDEX('Inventario General'!$I$5:$I$304,MATCH($A54,'Inventario General'!$A$5:$A$304,0))&amp;"","No está en el inventario"))</f>
        <v/>
      </c>
      <c r="E54" s="26"/>
      <c r="F54" s="26"/>
      <c r="G54" s="26"/>
      <c r="H54" s="26"/>
      <c r="I54" s="26"/>
      <c r="J54" s="44"/>
      <c r="K54" s="26"/>
      <c r="L54" s="26"/>
    </row>
    <row r="55" spans="1:12" x14ac:dyDescent="0.25">
      <c r="A55" s="26"/>
      <c r="B55" s="25" t="str">
        <f>IF($A55="","",IFERROR(INDEX('Inventario General'!$C$5:$C$304,MATCH($A55,'Inventario General'!$A$5:$A$304,0))&amp;"","No está en el inventario"))</f>
        <v/>
      </c>
      <c r="C55" s="25" t="str">
        <f>IF($A55="","",IFERROR(INDEX('Inventario General'!$D$5:$D$304,MATCH($A55,'Inventario General'!$A$5:$A$304,0))&amp;"","No está en el inventario"))</f>
        <v/>
      </c>
      <c r="D55" s="25" t="str">
        <f>IF($A55="","",IFERROR(INDEX('Inventario General'!$I$5:$I$304,MATCH($A55,'Inventario General'!$A$5:$A$304,0))&amp;"","No está en el inventario"))</f>
        <v/>
      </c>
      <c r="E55" s="26"/>
      <c r="F55" s="26"/>
      <c r="G55" s="26"/>
      <c r="H55" s="26"/>
      <c r="I55" s="26"/>
      <c r="J55" s="44"/>
      <c r="K55" s="26"/>
      <c r="L55" s="26"/>
    </row>
    <row r="56" spans="1:12" x14ac:dyDescent="0.25">
      <c r="A56" s="26"/>
      <c r="B56" s="25" t="str">
        <f>IF($A56="","",IFERROR(INDEX('Inventario General'!$C$5:$C$304,MATCH($A56,'Inventario General'!$A$5:$A$304,0))&amp;"","No está en el inventario"))</f>
        <v/>
      </c>
      <c r="C56" s="25" t="str">
        <f>IF($A56="","",IFERROR(INDEX('Inventario General'!$D$5:$D$304,MATCH($A56,'Inventario General'!$A$5:$A$304,0))&amp;"","No está en el inventario"))</f>
        <v/>
      </c>
      <c r="D56" s="25" t="str">
        <f>IF($A56="","",IFERROR(INDEX('Inventario General'!$I$5:$I$304,MATCH($A56,'Inventario General'!$A$5:$A$304,0))&amp;"","No está en el inventario"))</f>
        <v/>
      </c>
      <c r="E56" s="26"/>
      <c r="F56" s="26"/>
      <c r="G56" s="26"/>
      <c r="H56" s="26"/>
      <c r="I56" s="26"/>
      <c r="J56" s="44"/>
      <c r="K56" s="26"/>
      <c r="L56" s="26"/>
    </row>
    <row r="57" spans="1:12" x14ac:dyDescent="0.25">
      <c r="A57" s="26"/>
      <c r="B57" s="25" t="str">
        <f>IF($A57="","",IFERROR(INDEX('Inventario General'!$C$5:$C$304,MATCH($A57,'Inventario General'!$A$5:$A$304,0))&amp;"","No está en el inventario"))</f>
        <v/>
      </c>
      <c r="C57" s="25" t="str">
        <f>IF($A57="","",IFERROR(INDEX('Inventario General'!$D$5:$D$304,MATCH($A57,'Inventario General'!$A$5:$A$304,0))&amp;"","No está en el inventario"))</f>
        <v/>
      </c>
      <c r="D57" s="25" t="str">
        <f>IF($A57="","",IFERROR(INDEX('Inventario General'!$I$5:$I$304,MATCH($A57,'Inventario General'!$A$5:$A$304,0))&amp;"","No está en el inventario"))</f>
        <v/>
      </c>
      <c r="E57" s="26"/>
      <c r="F57" s="26"/>
      <c r="G57" s="26"/>
      <c r="H57" s="26"/>
      <c r="I57" s="26"/>
      <c r="J57" s="44"/>
      <c r="K57" s="26"/>
      <c r="L57" s="26"/>
    </row>
    <row r="58" spans="1:12" x14ac:dyDescent="0.25">
      <c r="A58" s="26"/>
      <c r="B58" s="25" t="str">
        <f>IF($A58="","",IFERROR(INDEX('Inventario General'!$C$5:$C$304,MATCH($A58,'Inventario General'!$A$5:$A$304,0))&amp;"","No está en el inventario"))</f>
        <v/>
      </c>
      <c r="C58" s="25" t="str">
        <f>IF($A58="","",IFERROR(INDEX('Inventario General'!$D$5:$D$304,MATCH($A58,'Inventario General'!$A$5:$A$304,0))&amp;"","No está en el inventario"))</f>
        <v/>
      </c>
      <c r="D58" s="25" t="str">
        <f>IF($A58="","",IFERROR(INDEX('Inventario General'!$I$5:$I$304,MATCH($A58,'Inventario General'!$A$5:$A$304,0))&amp;"","No está en el inventario"))</f>
        <v/>
      </c>
      <c r="E58" s="26"/>
      <c r="F58" s="26"/>
      <c r="G58" s="26"/>
      <c r="H58" s="26"/>
      <c r="I58" s="26"/>
      <c r="J58" s="44"/>
      <c r="K58" s="26"/>
      <c r="L58" s="26"/>
    </row>
    <row r="59" spans="1:12" x14ac:dyDescent="0.25">
      <c r="A59" s="26"/>
      <c r="B59" s="25" t="str">
        <f>IF($A59="","",IFERROR(INDEX('Inventario General'!$C$5:$C$304,MATCH($A59,'Inventario General'!$A$5:$A$304,0))&amp;"","No está en el inventario"))</f>
        <v/>
      </c>
      <c r="C59" s="25" t="str">
        <f>IF($A59="","",IFERROR(INDEX('Inventario General'!$D$5:$D$304,MATCH($A59,'Inventario General'!$A$5:$A$304,0))&amp;"","No está en el inventario"))</f>
        <v/>
      </c>
      <c r="D59" s="25" t="str">
        <f>IF($A59="","",IFERROR(INDEX('Inventario General'!$I$5:$I$304,MATCH($A59,'Inventario General'!$A$5:$A$304,0))&amp;"","No está en el inventario"))</f>
        <v/>
      </c>
      <c r="E59" s="26"/>
      <c r="F59" s="26"/>
      <c r="G59" s="26"/>
      <c r="H59" s="26"/>
      <c r="I59" s="26"/>
      <c r="J59" s="44"/>
      <c r="K59" s="26"/>
      <c r="L59" s="26"/>
    </row>
    <row r="60" spans="1:12" x14ac:dyDescent="0.25">
      <c r="A60" s="26"/>
      <c r="B60" s="25" t="str">
        <f>IF($A60="","",IFERROR(INDEX('Inventario General'!$C$5:$C$304,MATCH($A60,'Inventario General'!$A$5:$A$304,0))&amp;"","No está en el inventario"))</f>
        <v/>
      </c>
      <c r="C60" s="25" t="str">
        <f>IF($A60="","",IFERROR(INDEX('Inventario General'!$D$5:$D$304,MATCH($A60,'Inventario General'!$A$5:$A$304,0))&amp;"","No está en el inventario"))</f>
        <v/>
      </c>
      <c r="D60" s="25" t="str">
        <f>IF($A60="","",IFERROR(INDEX('Inventario General'!$I$5:$I$304,MATCH($A60,'Inventario General'!$A$5:$A$304,0))&amp;"","No está en el inventario"))</f>
        <v/>
      </c>
      <c r="E60" s="26"/>
      <c r="F60" s="26"/>
      <c r="G60" s="26"/>
      <c r="H60" s="26"/>
      <c r="I60" s="26"/>
      <c r="J60" s="44"/>
      <c r="K60" s="26"/>
      <c r="L60" s="26"/>
    </row>
    <row r="61" spans="1:12" x14ac:dyDescent="0.25">
      <c r="A61" s="26"/>
      <c r="B61" s="25" t="str">
        <f>IF($A61="","",IFERROR(INDEX('Inventario General'!$C$5:$C$304,MATCH($A61,'Inventario General'!$A$5:$A$304,0))&amp;"","No está en el inventario"))</f>
        <v/>
      </c>
      <c r="C61" s="25" t="str">
        <f>IF($A61="","",IFERROR(INDEX('Inventario General'!$D$5:$D$304,MATCH($A61,'Inventario General'!$A$5:$A$304,0))&amp;"","No está en el inventario"))</f>
        <v/>
      </c>
      <c r="D61" s="25" t="str">
        <f>IF($A61="","",IFERROR(INDEX('Inventario General'!$I$5:$I$304,MATCH($A61,'Inventario General'!$A$5:$A$304,0))&amp;"","No está en el inventario"))</f>
        <v/>
      </c>
      <c r="E61" s="26"/>
      <c r="F61" s="26"/>
      <c r="G61" s="26"/>
      <c r="H61" s="26"/>
      <c r="I61" s="26"/>
      <c r="J61" s="44"/>
      <c r="K61" s="26"/>
      <c r="L61" s="26"/>
    </row>
    <row r="62" spans="1:12" x14ac:dyDescent="0.25">
      <c r="A62" s="26"/>
      <c r="B62" s="25" t="str">
        <f>IF($A62="","",IFERROR(INDEX('Inventario General'!$C$5:$C$304,MATCH($A62,'Inventario General'!$A$5:$A$304,0))&amp;"","No está en el inventario"))</f>
        <v/>
      </c>
      <c r="C62" s="25" t="str">
        <f>IF($A62="","",IFERROR(INDEX('Inventario General'!$D$5:$D$304,MATCH($A62,'Inventario General'!$A$5:$A$304,0))&amp;"","No está en el inventario"))</f>
        <v/>
      </c>
      <c r="D62" s="25" t="str">
        <f>IF($A62="","",IFERROR(INDEX('Inventario General'!$I$5:$I$304,MATCH($A62,'Inventario General'!$A$5:$A$304,0))&amp;"","No está en el inventario"))</f>
        <v/>
      </c>
      <c r="E62" s="26"/>
      <c r="F62" s="26"/>
      <c r="G62" s="26"/>
      <c r="H62" s="26"/>
      <c r="I62" s="26"/>
      <c r="J62" s="44"/>
      <c r="K62" s="26"/>
      <c r="L62" s="26"/>
    </row>
    <row r="63" spans="1:12" x14ac:dyDescent="0.25">
      <c r="A63" s="26"/>
      <c r="B63" s="25" t="str">
        <f>IF($A63="","",IFERROR(INDEX('Inventario General'!$C$5:$C$304,MATCH($A63,'Inventario General'!$A$5:$A$304,0))&amp;"","No está en el inventario"))</f>
        <v/>
      </c>
      <c r="C63" s="25" t="str">
        <f>IF($A63="","",IFERROR(INDEX('Inventario General'!$D$5:$D$304,MATCH($A63,'Inventario General'!$A$5:$A$304,0))&amp;"","No está en el inventario"))</f>
        <v/>
      </c>
      <c r="D63" s="25" t="str">
        <f>IF($A63="","",IFERROR(INDEX('Inventario General'!$I$5:$I$304,MATCH($A63,'Inventario General'!$A$5:$A$304,0))&amp;"","No está en el inventario"))</f>
        <v/>
      </c>
      <c r="E63" s="26"/>
      <c r="F63" s="26"/>
      <c r="G63" s="26"/>
      <c r="H63" s="26"/>
      <c r="I63" s="26"/>
      <c r="J63" s="44"/>
      <c r="K63" s="26"/>
      <c r="L63" s="26"/>
    </row>
    <row r="64" spans="1:12" x14ac:dyDescent="0.25">
      <c r="A64" s="26"/>
      <c r="B64" s="25" t="str">
        <f>IF($A64="","",IFERROR(INDEX('Inventario General'!$C$5:$C$304,MATCH($A64,'Inventario General'!$A$5:$A$304,0))&amp;"","No está en el inventario"))</f>
        <v/>
      </c>
      <c r="C64" s="25" t="str">
        <f>IF($A64="","",IFERROR(INDEX('Inventario General'!$D$5:$D$304,MATCH($A64,'Inventario General'!$A$5:$A$304,0))&amp;"","No está en el inventario"))</f>
        <v/>
      </c>
      <c r="D64" s="25" t="str">
        <f>IF($A64="","",IFERROR(INDEX('Inventario General'!$I$5:$I$304,MATCH($A64,'Inventario General'!$A$5:$A$304,0))&amp;"","No está en el inventario"))</f>
        <v/>
      </c>
      <c r="E64" s="26"/>
      <c r="F64" s="26"/>
      <c r="G64" s="26"/>
      <c r="H64" s="26"/>
      <c r="I64" s="26"/>
      <c r="J64" s="44"/>
      <c r="K64" s="26"/>
      <c r="L64" s="26"/>
    </row>
    <row r="65" spans="1:12" x14ac:dyDescent="0.25">
      <c r="A65" s="26"/>
      <c r="B65" s="25" t="str">
        <f>IF($A65="","",IFERROR(INDEX('Inventario General'!$C$5:$C$304,MATCH($A65,'Inventario General'!$A$5:$A$304,0))&amp;"","No está en el inventario"))</f>
        <v/>
      </c>
      <c r="C65" s="25" t="str">
        <f>IF($A65="","",IFERROR(INDEX('Inventario General'!$D$5:$D$304,MATCH($A65,'Inventario General'!$A$5:$A$304,0))&amp;"","No está en el inventario"))</f>
        <v/>
      </c>
      <c r="D65" s="25" t="str">
        <f>IF($A65="","",IFERROR(INDEX('Inventario General'!$I$5:$I$304,MATCH($A65,'Inventario General'!$A$5:$A$304,0))&amp;"","No está en el inventario"))</f>
        <v/>
      </c>
      <c r="E65" s="26"/>
      <c r="F65" s="26"/>
      <c r="G65" s="26"/>
      <c r="H65" s="26"/>
      <c r="I65" s="26"/>
      <c r="J65" s="44"/>
      <c r="K65" s="26"/>
      <c r="L65" s="26"/>
    </row>
    <row r="66" spans="1:12" x14ac:dyDescent="0.25">
      <c r="A66" s="26"/>
      <c r="B66" s="25" t="str">
        <f>IF($A66="","",IFERROR(INDEX('Inventario General'!$C$5:$C$304,MATCH($A66,'Inventario General'!$A$5:$A$304,0))&amp;"","No está en el inventario"))</f>
        <v/>
      </c>
      <c r="C66" s="25" t="str">
        <f>IF($A66="","",IFERROR(INDEX('Inventario General'!$D$5:$D$304,MATCH($A66,'Inventario General'!$A$5:$A$304,0))&amp;"","No está en el inventario"))</f>
        <v/>
      </c>
      <c r="D66" s="25" t="str">
        <f>IF($A66="","",IFERROR(INDEX('Inventario General'!$I$5:$I$304,MATCH($A66,'Inventario General'!$A$5:$A$304,0))&amp;"","No está en el inventario"))</f>
        <v/>
      </c>
      <c r="E66" s="26"/>
      <c r="F66" s="26"/>
      <c r="G66" s="26"/>
      <c r="H66" s="26"/>
      <c r="I66" s="26"/>
      <c r="J66" s="44"/>
      <c r="K66" s="26"/>
      <c r="L66" s="26"/>
    </row>
    <row r="67" spans="1:12" x14ac:dyDescent="0.25">
      <c r="A67" s="26"/>
      <c r="B67" s="25" t="str">
        <f>IF($A67="","",IFERROR(INDEX('Inventario General'!$C$5:$C$304,MATCH($A67,'Inventario General'!$A$5:$A$304,0))&amp;"","No está en el inventario"))</f>
        <v/>
      </c>
      <c r="C67" s="25" t="str">
        <f>IF($A67="","",IFERROR(INDEX('Inventario General'!$D$5:$D$304,MATCH($A67,'Inventario General'!$A$5:$A$304,0))&amp;"","No está en el inventario"))</f>
        <v/>
      </c>
      <c r="D67" s="25" t="str">
        <f>IF($A67="","",IFERROR(INDEX('Inventario General'!$I$5:$I$304,MATCH($A67,'Inventario General'!$A$5:$A$304,0))&amp;"","No está en el inventario"))</f>
        <v/>
      </c>
      <c r="E67" s="26"/>
      <c r="F67" s="26"/>
      <c r="G67" s="26"/>
      <c r="H67" s="26"/>
      <c r="I67" s="26"/>
      <c r="J67" s="44"/>
      <c r="K67" s="26"/>
      <c r="L67" s="26"/>
    </row>
    <row r="68" spans="1:12" x14ac:dyDescent="0.25">
      <c r="A68" s="26"/>
      <c r="B68" s="25" t="str">
        <f>IF($A68="","",IFERROR(INDEX('Inventario General'!$C$5:$C$304,MATCH($A68,'Inventario General'!$A$5:$A$304,0))&amp;"","No está en el inventario"))</f>
        <v/>
      </c>
      <c r="C68" s="25" t="str">
        <f>IF($A68="","",IFERROR(INDEX('Inventario General'!$D$5:$D$304,MATCH($A68,'Inventario General'!$A$5:$A$304,0))&amp;"","No está en el inventario"))</f>
        <v/>
      </c>
      <c r="D68" s="25" t="str">
        <f>IF($A68="","",IFERROR(INDEX('Inventario General'!$I$5:$I$304,MATCH($A68,'Inventario General'!$A$5:$A$304,0))&amp;"","No está en el inventario"))</f>
        <v/>
      </c>
      <c r="E68" s="26"/>
      <c r="F68" s="26"/>
      <c r="G68" s="26"/>
      <c r="H68" s="26"/>
      <c r="I68" s="26"/>
      <c r="J68" s="44"/>
      <c r="K68" s="26"/>
      <c r="L68" s="26"/>
    </row>
    <row r="69" spans="1:12" x14ac:dyDescent="0.25">
      <c r="A69" s="26"/>
      <c r="B69" s="25" t="str">
        <f>IF($A69="","",IFERROR(INDEX('Inventario General'!$C$5:$C$304,MATCH($A69,'Inventario General'!$A$5:$A$304,0))&amp;"","No está en el inventario"))</f>
        <v/>
      </c>
      <c r="C69" s="25" t="str">
        <f>IF($A69="","",IFERROR(INDEX('Inventario General'!$D$5:$D$304,MATCH($A69,'Inventario General'!$A$5:$A$304,0))&amp;"","No está en el inventario"))</f>
        <v/>
      </c>
      <c r="D69" s="25" t="str">
        <f>IF($A69="","",IFERROR(INDEX('Inventario General'!$I$5:$I$304,MATCH($A69,'Inventario General'!$A$5:$A$304,0))&amp;"","No está en el inventario"))</f>
        <v/>
      </c>
      <c r="E69" s="26"/>
      <c r="F69" s="26"/>
      <c r="G69" s="26"/>
      <c r="H69" s="26"/>
      <c r="I69" s="26"/>
      <c r="J69" s="44"/>
      <c r="K69" s="26"/>
      <c r="L69" s="26"/>
    </row>
    <row r="70" spans="1:12" x14ac:dyDescent="0.25">
      <c r="A70" s="26"/>
      <c r="B70" s="25" t="str">
        <f>IF($A70="","",IFERROR(INDEX('Inventario General'!$C$5:$C$304,MATCH($A70,'Inventario General'!$A$5:$A$304,0))&amp;"","No está en el inventario"))</f>
        <v/>
      </c>
      <c r="C70" s="25" t="str">
        <f>IF($A70="","",IFERROR(INDEX('Inventario General'!$D$5:$D$304,MATCH($A70,'Inventario General'!$A$5:$A$304,0))&amp;"","No está en el inventario"))</f>
        <v/>
      </c>
      <c r="D70" s="25" t="str">
        <f>IF($A70="","",IFERROR(INDEX('Inventario General'!$I$5:$I$304,MATCH($A70,'Inventario General'!$A$5:$A$304,0))&amp;"","No está en el inventario"))</f>
        <v/>
      </c>
      <c r="E70" s="26"/>
      <c r="F70" s="26"/>
      <c r="G70" s="26"/>
      <c r="H70" s="26"/>
      <c r="I70" s="26"/>
      <c r="J70" s="44"/>
      <c r="K70" s="26"/>
      <c r="L70" s="26"/>
    </row>
    <row r="71" spans="1:12" x14ac:dyDescent="0.25">
      <c r="A71" s="26"/>
      <c r="B71" s="25" t="str">
        <f>IF($A71="","",IFERROR(INDEX('Inventario General'!$C$5:$C$304,MATCH($A71,'Inventario General'!$A$5:$A$304,0))&amp;"","No está en el inventario"))</f>
        <v/>
      </c>
      <c r="C71" s="25" t="str">
        <f>IF($A71="","",IFERROR(INDEX('Inventario General'!$D$5:$D$304,MATCH($A71,'Inventario General'!$A$5:$A$304,0))&amp;"","No está en el inventario"))</f>
        <v/>
      </c>
      <c r="D71" s="25" t="str">
        <f>IF($A71="","",IFERROR(INDEX('Inventario General'!$I$5:$I$304,MATCH($A71,'Inventario General'!$A$5:$A$304,0))&amp;"","No está en el inventario"))</f>
        <v/>
      </c>
      <c r="E71" s="26"/>
      <c r="F71" s="26"/>
      <c r="G71" s="26"/>
      <c r="H71" s="26"/>
      <c r="I71" s="26"/>
      <c r="J71" s="44"/>
      <c r="K71" s="26"/>
      <c r="L71" s="26"/>
    </row>
    <row r="72" spans="1:12" x14ac:dyDescent="0.25">
      <c r="A72" s="26"/>
      <c r="B72" s="25" t="str">
        <f>IF($A72="","",IFERROR(INDEX('Inventario General'!$C$5:$C$304,MATCH($A72,'Inventario General'!$A$5:$A$304,0))&amp;"","No está en el inventario"))</f>
        <v/>
      </c>
      <c r="C72" s="25" t="str">
        <f>IF($A72="","",IFERROR(INDEX('Inventario General'!$D$5:$D$304,MATCH($A72,'Inventario General'!$A$5:$A$304,0))&amp;"","No está en el inventario"))</f>
        <v/>
      </c>
      <c r="D72" s="25" t="str">
        <f>IF($A72="","",IFERROR(INDEX('Inventario General'!$I$5:$I$304,MATCH($A72,'Inventario General'!$A$5:$A$304,0))&amp;"","No está en el inventario"))</f>
        <v/>
      </c>
      <c r="E72" s="26"/>
      <c r="F72" s="26"/>
      <c r="G72" s="26"/>
      <c r="H72" s="26"/>
      <c r="I72" s="26"/>
      <c r="J72" s="44"/>
      <c r="K72" s="26"/>
      <c r="L72" s="26"/>
    </row>
    <row r="73" spans="1:12" x14ac:dyDescent="0.25">
      <c r="A73" s="26"/>
      <c r="B73" s="25" t="str">
        <f>IF($A73="","",IFERROR(INDEX('Inventario General'!$C$5:$C$304,MATCH($A73,'Inventario General'!$A$5:$A$304,0))&amp;"","No está en el inventario"))</f>
        <v/>
      </c>
      <c r="C73" s="25" t="str">
        <f>IF($A73="","",IFERROR(INDEX('Inventario General'!$D$5:$D$304,MATCH($A73,'Inventario General'!$A$5:$A$304,0))&amp;"","No está en el inventario"))</f>
        <v/>
      </c>
      <c r="D73" s="25" t="str">
        <f>IF($A73="","",IFERROR(INDEX('Inventario General'!$I$5:$I$304,MATCH($A73,'Inventario General'!$A$5:$A$304,0))&amp;"","No está en el inventario"))</f>
        <v/>
      </c>
      <c r="E73" s="26"/>
      <c r="F73" s="26"/>
      <c r="G73" s="26"/>
      <c r="H73" s="26"/>
      <c r="I73" s="26"/>
      <c r="J73" s="44"/>
      <c r="K73" s="26"/>
      <c r="L73" s="26"/>
    </row>
    <row r="74" spans="1:12" x14ac:dyDescent="0.25">
      <c r="A74" s="26"/>
      <c r="B74" s="25" t="str">
        <f>IF($A74="","",IFERROR(INDEX('Inventario General'!$C$5:$C$304,MATCH($A74,'Inventario General'!$A$5:$A$304,0))&amp;"","No está en el inventario"))</f>
        <v/>
      </c>
      <c r="C74" s="25" t="str">
        <f>IF($A74="","",IFERROR(INDEX('Inventario General'!$D$5:$D$304,MATCH($A74,'Inventario General'!$A$5:$A$304,0))&amp;"","No está en el inventario"))</f>
        <v/>
      </c>
      <c r="D74" s="25" t="str">
        <f>IF($A74="","",IFERROR(INDEX('Inventario General'!$I$5:$I$304,MATCH($A74,'Inventario General'!$A$5:$A$304,0))&amp;"","No está en el inventario"))</f>
        <v/>
      </c>
      <c r="E74" s="26"/>
      <c r="F74" s="26"/>
      <c r="G74" s="26"/>
      <c r="H74" s="26"/>
      <c r="I74" s="26"/>
      <c r="J74" s="44"/>
      <c r="K74" s="26"/>
      <c r="L74" s="26"/>
    </row>
    <row r="75" spans="1:12" x14ac:dyDescent="0.25">
      <c r="A75" s="26"/>
      <c r="B75" s="25" t="str">
        <f>IF($A75="","",IFERROR(INDEX('Inventario General'!$C$5:$C$304,MATCH($A75,'Inventario General'!$A$5:$A$304,0))&amp;"","No está en el inventario"))</f>
        <v/>
      </c>
      <c r="C75" s="25" t="str">
        <f>IF($A75="","",IFERROR(INDEX('Inventario General'!$D$5:$D$304,MATCH($A75,'Inventario General'!$A$5:$A$304,0))&amp;"","No está en el inventario"))</f>
        <v/>
      </c>
      <c r="D75" s="25" t="str">
        <f>IF($A75="","",IFERROR(INDEX('Inventario General'!$I$5:$I$304,MATCH($A75,'Inventario General'!$A$5:$A$304,0))&amp;"","No está en el inventario"))</f>
        <v/>
      </c>
      <c r="E75" s="26"/>
      <c r="F75" s="26"/>
      <c r="G75" s="26"/>
      <c r="H75" s="26"/>
      <c r="I75" s="26"/>
      <c r="J75" s="44"/>
      <c r="K75" s="26"/>
      <c r="L75" s="26"/>
    </row>
    <row r="76" spans="1:12" x14ac:dyDescent="0.25">
      <c r="A76" s="26"/>
      <c r="B76" s="25" t="str">
        <f>IF($A76="","",IFERROR(INDEX('Inventario General'!$C$5:$C$304,MATCH($A76,'Inventario General'!$A$5:$A$304,0))&amp;"","No está en el inventario"))</f>
        <v/>
      </c>
      <c r="C76" s="25" t="str">
        <f>IF($A76="","",IFERROR(INDEX('Inventario General'!$D$5:$D$304,MATCH($A76,'Inventario General'!$A$5:$A$304,0))&amp;"","No está en el inventario"))</f>
        <v/>
      </c>
      <c r="D76" s="25" t="str">
        <f>IF($A76="","",IFERROR(INDEX('Inventario General'!$I$5:$I$304,MATCH($A76,'Inventario General'!$A$5:$A$304,0))&amp;"","No está en el inventario"))</f>
        <v/>
      </c>
      <c r="E76" s="26"/>
      <c r="F76" s="26"/>
      <c r="G76" s="26"/>
      <c r="H76" s="26"/>
      <c r="I76" s="26"/>
      <c r="J76" s="44"/>
      <c r="K76" s="26"/>
      <c r="L76" s="26"/>
    </row>
    <row r="77" spans="1:12" x14ac:dyDescent="0.25">
      <c r="A77" s="26"/>
      <c r="B77" s="25" t="str">
        <f>IF($A77="","",IFERROR(INDEX('Inventario General'!$C$5:$C$304,MATCH($A77,'Inventario General'!$A$5:$A$304,0))&amp;"","No está en el inventario"))</f>
        <v/>
      </c>
      <c r="C77" s="25" t="str">
        <f>IF($A77="","",IFERROR(INDEX('Inventario General'!$D$5:$D$304,MATCH($A77,'Inventario General'!$A$5:$A$304,0))&amp;"","No está en el inventario"))</f>
        <v/>
      </c>
      <c r="D77" s="25" t="str">
        <f>IF($A77="","",IFERROR(INDEX('Inventario General'!$I$5:$I$304,MATCH($A77,'Inventario General'!$A$5:$A$304,0))&amp;"","No está en el inventario"))</f>
        <v/>
      </c>
      <c r="E77" s="26"/>
      <c r="F77" s="26"/>
      <c r="G77" s="26"/>
      <c r="H77" s="26"/>
      <c r="I77" s="26"/>
      <c r="J77" s="44"/>
      <c r="K77" s="26"/>
      <c r="L77" s="26"/>
    </row>
    <row r="78" spans="1:12" x14ac:dyDescent="0.25">
      <c r="A78" s="26"/>
      <c r="B78" s="25" t="str">
        <f>IF($A78="","",IFERROR(INDEX('Inventario General'!$C$5:$C$304,MATCH($A78,'Inventario General'!$A$5:$A$304,0))&amp;"","No está en el inventario"))</f>
        <v/>
      </c>
      <c r="C78" s="25" t="str">
        <f>IF($A78="","",IFERROR(INDEX('Inventario General'!$D$5:$D$304,MATCH($A78,'Inventario General'!$A$5:$A$304,0))&amp;"","No está en el inventario"))</f>
        <v/>
      </c>
      <c r="D78" s="25" t="str">
        <f>IF($A78="","",IFERROR(INDEX('Inventario General'!$I$5:$I$304,MATCH($A78,'Inventario General'!$A$5:$A$304,0))&amp;"","No está en el inventario"))</f>
        <v/>
      </c>
      <c r="E78" s="26"/>
      <c r="F78" s="26"/>
      <c r="G78" s="26"/>
      <c r="H78" s="26"/>
      <c r="I78" s="26"/>
      <c r="J78" s="44"/>
      <c r="K78" s="26"/>
      <c r="L78" s="26"/>
    </row>
    <row r="79" spans="1:12" x14ac:dyDescent="0.25">
      <c r="A79" s="26"/>
      <c r="B79" s="25" t="str">
        <f>IF($A79="","",IFERROR(INDEX('Inventario General'!$C$5:$C$304,MATCH($A79,'Inventario General'!$A$5:$A$304,0))&amp;"","No está en el inventario"))</f>
        <v/>
      </c>
      <c r="C79" s="25" t="str">
        <f>IF($A79="","",IFERROR(INDEX('Inventario General'!$D$5:$D$304,MATCH($A79,'Inventario General'!$A$5:$A$304,0))&amp;"","No está en el inventario"))</f>
        <v/>
      </c>
      <c r="D79" s="25" t="str">
        <f>IF($A79="","",IFERROR(INDEX('Inventario General'!$I$5:$I$304,MATCH($A79,'Inventario General'!$A$5:$A$304,0))&amp;"","No está en el inventario"))</f>
        <v/>
      </c>
      <c r="E79" s="26"/>
      <c r="F79" s="26"/>
      <c r="G79" s="26"/>
      <c r="H79" s="26"/>
      <c r="I79" s="26"/>
      <c r="J79" s="44"/>
      <c r="K79" s="26"/>
      <c r="L79" s="26"/>
    </row>
    <row r="80" spans="1:12" x14ac:dyDescent="0.25">
      <c r="A80" s="26"/>
      <c r="B80" s="25" t="str">
        <f>IF($A80="","",IFERROR(INDEX('Inventario General'!$C$5:$C$304,MATCH($A80,'Inventario General'!$A$5:$A$304,0))&amp;"","No está en el inventario"))</f>
        <v/>
      </c>
      <c r="C80" s="25" t="str">
        <f>IF($A80="","",IFERROR(INDEX('Inventario General'!$D$5:$D$304,MATCH($A80,'Inventario General'!$A$5:$A$304,0))&amp;"","No está en el inventario"))</f>
        <v/>
      </c>
      <c r="D80" s="25" t="str">
        <f>IF($A80="","",IFERROR(INDEX('Inventario General'!$I$5:$I$304,MATCH($A80,'Inventario General'!$A$5:$A$304,0))&amp;"","No está en el inventario"))</f>
        <v/>
      </c>
      <c r="E80" s="26"/>
      <c r="F80" s="26"/>
      <c r="G80" s="26"/>
      <c r="H80" s="26"/>
      <c r="I80" s="26"/>
      <c r="J80" s="44"/>
      <c r="K80" s="26"/>
      <c r="L80" s="26"/>
    </row>
    <row r="81" spans="1:12" x14ac:dyDescent="0.25">
      <c r="A81" s="26"/>
      <c r="B81" s="25" t="str">
        <f>IF($A81="","",IFERROR(INDEX('Inventario General'!$C$5:$C$304,MATCH($A81,'Inventario General'!$A$5:$A$304,0))&amp;"","No está en el inventario"))</f>
        <v/>
      </c>
      <c r="C81" s="25" t="str">
        <f>IF($A81="","",IFERROR(INDEX('Inventario General'!$D$5:$D$304,MATCH($A81,'Inventario General'!$A$5:$A$304,0))&amp;"","No está en el inventario"))</f>
        <v/>
      </c>
      <c r="D81" s="25" t="str">
        <f>IF($A81="","",IFERROR(INDEX('Inventario General'!$I$5:$I$304,MATCH($A81,'Inventario General'!$A$5:$A$304,0))&amp;"","No está en el inventario"))</f>
        <v/>
      </c>
      <c r="E81" s="26"/>
      <c r="F81" s="26"/>
      <c r="G81" s="26"/>
      <c r="H81" s="26"/>
      <c r="I81" s="26"/>
      <c r="J81" s="44"/>
      <c r="K81" s="26"/>
      <c r="L81" s="26"/>
    </row>
    <row r="82" spans="1:12" x14ac:dyDescent="0.25">
      <c r="A82" s="26"/>
      <c r="B82" s="25" t="str">
        <f>IF($A82="","",IFERROR(INDEX('Inventario General'!$C$5:$C$304,MATCH($A82,'Inventario General'!$A$5:$A$304,0))&amp;"","No está en el inventario"))</f>
        <v/>
      </c>
      <c r="C82" s="25" t="str">
        <f>IF($A82="","",IFERROR(INDEX('Inventario General'!$D$5:$D$304,MATCH($A82,'Inventario General'!$A$5:$A$304,0))&amp;"","No está en el inventario"))</f>
        <v/>
      </c>
      <c r="D82" s="25" t="str">
        <f>IF($A82="","",IFERROR(INDEX('Inventario General'!$I$5:$I$304,MATCH($A82,'Inventario General'!$A$5:$A$304,0))&amp;"","No está en el inventario"))</f>
        <v/>
      </c>
      <c r="E82" s="26"/>
      <c r="F82" s="26"/>
      <c r="G82" s="26"/>
      <c r="H82" s="26"/>
      <c r="I82" s="26"/>
      <c r="J82" s="44"/>
      <c r="K82" s="26"/>
      <c r="L82" s="26"/>
    </row>
    <row r="83" spans="1:12" x14ac:dyDescent="0.25">
      <c r="A83" s="26"/>
      <c r="B83" s="25" t="str">
        <f>IF($A83="","",IFERROR(INDEX('Inventario General'!$C$5:$C$304,MATCH($A83,'Inventario General'!$A$5:$A$304,0))&amp;"","No está en el inventario"))</f>
        <v/>
      </c>
      <c r="C83" s="25" t="str">
        <f>IF($A83="","",IFERROR(INDEX('Inventario General'!$D$5:$D$304,MATCH($A83,'Inventario General'!$A$5:$A$304,0))&amp;"","No está en el inventario"))</f>
        <v/>
      </c>
      <c r="D83" s="25" t="str">
        <f>IF($A83="","",IFERROR(INDEX('Inventario General'!$I$5:$I$304,MATCH($A83,'Inventario General'!$A$5:$A$304,0))&amp;"","No está en el inventario"))</f>
        <v/>
      </c>
      <c r="E83" s="26"/>
      <c r="F83" s="26"/>
      <c r="G83" s="26"/>
      <c r="H83" s="26"/>
      <c r="I83" s="26"/>
      <c r="J83" s="44"/>
      <c r="K83" s="26"/>
      <c r="L83" s="26"/>
    </row>
    <row r="84" spans="1:12" x14ac:dyDescent="0.25">
      <c r="A84" s="26"/>
      <c r="B84" s="25" t="str">
        <f>IF($A84="","",IFERROR(INDEX('Inventario General'!$C$5:$C$304,MATCH($A84,'Inventario General'!$A$5:$A$304,0))&amp;"","No está en el inventario"))</f>
        <v/>
      </c>
      <c r="C84" s="25" t="str">
        <f>IF($A84="","",IFERROR(INDEX('Inventario General'!$D$5:$D$304,MATCH($A84,'Inventario General'!$A$5:$A$304,0))&amp;"","No está en el inventario"))</f>
        <v/>
      </c>
      <c r="D84" s="25" t="str">
        <f>IF($A84="","",IFERROR(INDEX('Inventario General'!$I$5:$I$304,MATCH($A84,'Inventario General'!$A$5:$A$304,0))&amp;"","No está en el inventario"))</f>
        <v/>
      </c>
      <c r="E84" s="26"/>
      <c r="F84" s="26"/>
      <c r="G84" s="26"/>
      <c r="H84" s="26"/>
      <c r="I84" s="26"/>
      <c r="J84" s="44"/>
      <c r="K84" s="26"/>
      <c r="L84" s="26"/>
    </row>
    <row r="85" spans="1:12" x14ac:dyDescent="0.25">
      <c r="A85" s="26"/>
      <c r="B85" s="25" t="str">
        <f>IF($A85="","",IFERROR(INDEX('Inventario General'!$C$5:$C$304,MATCH($A85,'Inventario General'!$A$5:$A$304,0))&amp;"","No está en el inventario"))</f>
        <v/>
      </c>
      <c r="C85" s="25" t="str">
        <f>IF($A85="","",IFERROR(INDEX('Inventario General'!$D$5:$D$304,MATCH($A85,'Inventario General'!$A$5:$A$304,0))&amp;"","No está en el inventario"))</f>
        <v/>
      </c>
      <c r="D85" s="25" t="str">
        <f>IF($A85="","",IFERROR(INDEX('Inventario General'!$I$5:$I$304,MATCH($A85,'Inventario General'!$A$5:$A$304,0))&amp;"","No está en el inventario"))</f>
        <v/>
      </c>
      <c r="E85" s="26"/>
      <c r="F85" s="26"/>
      <c r="G85" s="26"/>
      <c r="H85" s="26"/>
      <c r="I85" s="26"/>
      <c r="J85" s="44"/>
      <c r="K85" s="26"/>
      <c r="L85" s="26"/>
    </row>
    <row r="86" spans="1:12" x14ac:dyDescent="0.25">
      <c r="A86" s="26"/>
      <c r="B86" s="25" t="str">
        <f>IF($A86="","",IFERROR(INDEX('Inventario General'!$C$5:$C$304,MATCH($A86,'Inventario General'!$A$5:$A$304,0))&amp;"","No está en el inventario"))</f>
        <v/>
      </c>
      <c r="C86" s="25" t="str">
        <f>IF($A86="","",IFERROR(INDEX('Inventario General'!$D$5:$D$304,MATCH($A86,'Inventario General'!$A$5:$A$304,0))&amp;"","No está en el inventario"))</f>
        <v/>
      </c>
      <c r="D86" s="25" t="str">
        <f>IF($A86="","",IFERROR(INDEX('Inventario General'!$I$5:$I$304,MATCH($A86,'Inventario General'!$A$5:$A$304,0))&amp;"","No está en el inventario"))</f>
        <v/>
      </c>
      <c r="E86" s="26"/>
      <c r="F86" s="26"/>
      <c r="G86" s="26"/>
      <c r="H86" s="26"/>
      <c r="I86" s="26"/>
      <c r="J86" s="44"/>
      <c r="K86" s="26"/>
      <c r="L86" s="26"/>
    </row>
    <row r="87" spans="1:12" x14ac:dyDescent="0.25">
      <c r="A87" s="26"/>
      <c r="B87" s="25" t="str">
        <f>IF($A87="","",IFERROR(INDEX('Inventario General'!$C$5:$C$304,MATCH($A87,'Inventario General'!$A$5:$A$304,0))&amp;"","No está en el inventario"))</f>
        <v/>
      </c>
      <c r="C87" s="25" t="str">
        <f>IF($A87="","",IFERROR(INDEX('Inventario General'!$D$5:$D$304,MATCH($A87,'Inventario General'!$A$5:$A$304,0))&amp;"","No está en el inventario"))</f>
        <v/>
      </c>
      <c r="D87" s="25" t="str">
        <f>IF($A87="","",IFERROR(INDEX('Inventario General'!$I$5:$I$304,MATCH($A87,'Inventario General'!$A$5:$A$304,0))&amp;"","No está en el inventario"))</f>
        <v/>
      </c>
      <c r="E87" s="26"/>
      <c r="F87" s="26"/>
      <c r="G87" s="26"/>
      <c r="H87" s="26"/>
      <c r="I87" s="26"/>
      <c r="J87" s="44"/>
      <c r="K87" s="26"/>
      <c r="L87" s="26"/>
    </row>
    <row r="88" spans="1:12" x14ac:dyDescent="0.25">
      <c r="A88" s="26"/>
      <c r="B88" s="25" t="str">
        <f>IF($A88="","",IFERROR(INDEX('Inventario General'!$C$5:$C$304,MATCH($A88,'Inventario General'!$A$5:$A$304,0))&amp;"","No está en el inventario"))</f>
        <v/>
      </c>
      <c r="C88" s="25" t="str">
        <f>IF($A88="","",IFERROR(INDEX('Inventario General'!$D$5:$D$304,MATCH($A88,'Inventario General'!$A$5:$A$304,0))&amp;"","No está en el inventario"))</f>
        <v/>
      </c>
      <c r="D88" s="25" t="str">
        <f>IF($A88="","",IFERROR(INDEX('Inventario General'!$I$5:$I$304,MATCH($A88,'Inventario General'!$A$5:$A$304,0))&amp;"","No está en el inventario"))</f>
        <v/>
      </c>
      <c r="E88" s="26"/>
      <c r="F88" s="26"/>
      <c r="G88" s="26"/>
      <c r="H88" s="26"/>
      <c r="I88" s="26"/>
      <c r="J88" s="44"/>
      <c r="K88" s="26"/>
      <c r="L88" s="26"/>
    </row>
    <row r="89" spans="1:12" x14ac:dyDescent="0.25">
      <c r="A89" s="26"/>
      <c r="B89" s="25" t="str">
        <f>IF($A89="","",IFERROR(INDEX('Inventario General'!$C$5:$C$304,MATCH($A89,'Inventario General'!$A$5:$A$304,0))&amp;"","No está en el inventario"))</f>
        <v/>
      </c>
      <c r="C89" s="25" t="str">
        <f>IF($A89="","",IFERROR(INDEX('Inventario General'!$D$5:$D$304,MATCH($A89,'Inventario General'!$A$5:$A$304,0))&amp;"","No está en el inventario"))</f>
        <v/>
      </c>
      <c r="D89" s="25" t="str">
        <f>IF($A89="","",IFERROR(INDEX('Inventario General'!$I$5:$I$304,MATCH($A89,'Inventario General'!$A$5:$A$304,0))&amp;"","No está en el inventario"))</f>
        <v/>
      </c>
      <c r="E89" s="26"/>
      <c r="F89" s="26"/>
      <c r="G89" s="26"/>
      <c r="H89" s="26"/>
      <c r="I89" s="26"/>
      <c r="J89" s="44"/>
      <c r="K89" s="26"/>
      <c r="L89" s="26"/>
    </row>
    <row r="90" spans="1:12" x14ac:dyDescent="0.25">
      <c r="A90" s="26"/>
      <c r="B90" s="25" t="str">
        <f>IF($A90="","",IFERROR(INDEX('Inventario General'!$C$5:$C$304,MATCH($A90,'Inventario General'!$A$5:$A$304,0))&amp;"","No está en el inventario"))</f>
        <v/>
      </c>
      <c r="C90" s="25" t="str">
        <f>IF($A90="","",IFERROR(INDEX('Inventario General'!$D$5:$D$304,MATCH($A90,'Inventario General'!$A$5:$A$304,0))&amp;"","No está en el inventario"))</f>
        <v/>
      </c>
      <c r="D90" s="25" t="str">
        <f>IF($A90="","",IFERROR(INDEX('Inventario General'!$I$5:$I$304,MATCH($A90,'Inventario General'!$A$5:$A$304,0))&amp;"","No está en el inventario"))</f>
        <v/>
      </c>
      <c r="E90" s="26"/>
      <c r="F90" s="26"/>
      <c r="G90" s="26"/>
      <c r="H90" s="26"/>
      <c r="I90" s="26"/>
      <c r="J90" s="44"/>
      <c r="K90" s="26"/>
      <c r="L90" s="26"/>
    </row>
    <row r="91" spans="1:12" x14ac:dyDescent="0.25">
      <c r="A91" s="26"/>
      <c r="B91" s="25" t="str">
        <f>IF($A91="","",IFERROR(INDEX('Inventario General'!$C$5:$C$304,MATCH($A91,'Inventario General'!$A$5:$A$304,0))&amp;"","No está en el inventario"))</f>
        <v/>
      </c>
      <c r="C91" s="25" t="str">
        <f>IF($A91="","",IFERROR(INDEX('Inventario General'!$D$5:$D$304,MATCH($A91,'Inventario General'!$A$5:$A$304,0))&amp;"","No está en el inventario"))</f>
        <v/>
      </c>
      <c r="D91" s="25" t="str">
        <f>IF($A91="","",IFERROR(INDEX('Inventario General'!$I$5:$I$304,MATCH($A91,'Inventario General'!$A$5:$A$304,0))&amp;"","No está en el inventario"))</f>
        <v/>
      </c>
      <c r="E91" s="26"/>
      <c r="F91" s="26"/>
      <c r="G91" s="26"/>
      <c r="H91" s="26"/>
      <c r="I91" s="26"/>
      <c r="J91" s="44"/>
      <c r="K91" s="26"/>
      <c r="L91" s="26"/>
    </row>
    <row r="92" spans="1:12" x14ac:dyDescent="0.25">
      <c r="A92" s="26"/>
      <c r="B92" s="25" t="str">
        <f>IF($A92="","",IFERROR(INDEX('Inventario General'!$C$5:$C$304,MATCH($A92,'Inventario General'!$A$5:$A$304,0))&amp;"","No está en el inventario"))</f>
        <v/>
      </c>
      <c r="C92" s="25" t="str">
        <f>IF($A92="","",IFERROR(INDEX('Inventario General'!$D$5:$D$304,MATCH($A92,'Inventario General'!$A$5:$A$304,0))&amp;"","No está en el inventario"))</f>
        <v/>
      </c>
      <c r="D92" s="25" t="str">
        <f>IF($A92="","",IFERROR(INDEX('Inventario General'!$I$5:$I$304,MATCH($A92,'Inventario General'!$A$5:$A$304,0))&amp;"","No está en el inventario"))</f>
        <v/>
      </c>
      <c r="E92" s="26"/>
      <c r="F92" s="26"/>
      <c r="G92" s="26"/>
      <c r="H92" s="26"/>
      <c r="I92" s="26"/>
      <c r="J92" s="44"/>
      <c r="K92" s="26"/>
      <c r="L92" s="26"/>
    </row>
    <row r="93" spans="1:12" x14ac:dyDescent="0.25">
      <c r="A93" s="26"/>
      <c r="B93" s="25" t="str">
        <f>IF($A93="","",IFERROR(INDEX('Inventario General'!$C$5:$C$304,MATCH($A93,'Inventario General'!$A$5:$A$304,0))&amp;"","No está en el inventario"))</f>
        <v/>
      </c>
      <c r="C93" s="25" t="str">
        <f>IF($A93="","",IFERROR(INDEX('Inventario General'!$D$5:$D$304,MATCH($A93,'Inventario General'!$A$5:$A$304,0))&amp;"","No está en el inventario"))</f>
        <v/>
      </c>
      <c r="D93" s="25" t="str">
        <f>IF($A93="","",IFERROR(INDEX('Inventario General'!$I$5:$I$304,MATCH($A93,'Inventario General'!$A$5:$A$304,0))&amp;"","No está en el inventario"))</f>
        <v/>
      </c>
      <c r="E93" s="26"/>
      <c r="F93" s="26"/>
      <c r="G93" s="26"/>
      <c r="H93" s="26"/>
      <c r="I93" s="26"/>
      <c r="J93" s="44"/>
      <c r="K93" s="26"/>
      <c r="L93" s="26"/>
    </row>
    <row r="94" spans="1:12" x14ac:dyDescent="0.25">
      <c r="A94" s="26"/>
      <c r="B94" s="25" t="str">
        <f>IF($A94="","",IFERROR(INDEX('Inventario General'!$C$5:$C$304,MATCH($A94,'Inventario General'!$A$5:$A$304,0))&amp;"","No está en el inventario"))</f>
        <v/>
      </c>
      <c r="C94" s="25" t="str">
        <f>IF($A94="","",IFERROR(INDEX('Inventario General'!$D$5:$D$304,MATCH($A94,'Inventario General'!$A$5:$A$304,0))&amp;"","No está en el inventario"))</f>
        <v/>
      </c>
      <c r="D94" s="25" t="str">
        <f>IF($A94="","",IFERROR(INDEX('Inventario General'!$I$5:$I$304,MATCH($A94,'Inventario General'!$A$5:$A$304,0))&amp;"","No está en el inventario"))</f>
        <v/>
      </c>
      <c r="E94" s="26"/>
      <c r="F94" s="26"/>
      <c r="G94" s="26"/>
      <c r="H94" s="26"/>
      <c r="I94" s="26"/>
      <c r="J94" s="44"/>
      <c r="K94" s="26"/>
      <c r="L94" s="26"/>
    </row>
    <row r="95" spans="1:12" x14ac:dyDescent="0.25">
      <c r="A95" s="26"/>
      <c r="B95" s="25" t="str">
        <f>IF($A95="","",IFERROR(INDEX('Inventario General'!$C$5:$C$304,MATCH($A95,'Inventario General'!$A$5:$A$304,0))&amp;"","No está en el inventario"))</f>
        <v/>
      </c>
      <c r="C95" s="25" t="str">
        <f>IF($A95="","",IFERROR(INDEX('Inventario General'!$D$5:$D$304,MATCH($A95,'Inventario General'!$A$5:$A$304,0))&amp;"","No está en el inventario"))</f>
        <v/>
      </c>
      <c r="D95" s="25" t="str">
        <f>IF($A95="","",IFERROR(INDEX('Inventario General'!$I$5:$I$304,MATCH($A95,'Inventario General'!$A$5:$A$304,0))&amp;"","No está en el inventario"))</f>
        <v/>
      </c>
      <c r="E95" s="26"/>
      <c r="F95" s="26"/>
      <c r="G95" s="26"/>
      <c r="H95" s="26"/>
      <c r="I95" s="26"/>
      <c r="J95" s="44"/>
      <c r="K95" s="26"/>
      <c r="L95" s="26"/>
    </row>
    <row r="96" spans="1:12" x14ac:dyDescent="0.25">
      <c r="A96" s="26"/>
      <c r="B96" s="25" t="str">
        <f>IF($A96="","",IFERROR(INDEX('Inventario General'!$C$5:$C$304,MATCH($A96,'Inventario General'!$A$5:$A$304,0))&amp;"","No está en el inventario"))</f>
        <v/>
      </c>
      <c r="C96" s="25" t="str">
        <f>IF($A96="","",IFERROR(INDEX('Inventario General'!$D$5:$D$304,MATCH($A96,'Inventario General'!$A$5:$A$304,0))&amp;"","No está en el inventario"))</f>
        <v/>
      </c>
      <c r="D96" s="25" t="str">
        <f>IF($A96="","",IFERROR(INDEX('Inventario General'!$I$5:$I$304,MATCH($A96,'Inventario General'!$A$5:$A$304,0))&amp;"","No está en el inventario"))</f>
        <v/>
      </c>
      <c r="E96" s="26"/>
      <c r="F96" s="26"/>
      <c r="G96" s="26"/>
      <c r="H96" s="26"/>
      <c r="I96" s="26"/>
      <c r="J96" s="44"/>
      <c r="K96" s="26"/>
      <c r="L96" s="26"/>
    </row>
    <row r="97" spans="1:12" x14ac:dyDescent="0.25">
      <c r="A97" s="26"/>
      <c r="B97" s="25" t="str">
        <f>IF($A97="","",IFERROR(INDEX('Inventario General'!$C$5:$C$304,MATCH($A97,'Inventario General'!$A$5:$A$304,0))&amp;"","No está en el inventario"))</f>
        <v/>
      </c>
      <c r="C97" s="25" t="str">
        <f>IF($A97="","",IFERROR(INDEX('Inventario General'!$D$5:$D$304,MATCH($A97,'Inventario General'!$A$5:$A$304,0))&amp;"","No está en el inventario"))</f>
        <v/>
      </c>
      <c r="D97" s="25" t="str">
        <f>IF($A97="","",IFERROR(INDEX('Inventario General'!$I$5:$I$304,MATCH($A97,'Inventario General'!$A$5:$A$304,0))&amp;"","No está en el inventario"))</f>
        <v/>
      </c>
      <c r="E97" s="26"/>
      <c r="F97" s="26"/>
      <c r="G97" s="26"/>
      <c r="H97" s="26"/>
      <c r="I97" s="26"/>
      <c r="J97" s="44"/>
      <c r="K97" s="26"/>
      <c r="L97" s="26"/>
    </row>
    <row r="98" spans="1:12" x14ac:dyDescent="0.25">
      <c r="A98" s="26"/>
      <c r="B98" s="25" t="str">
        <f>IF($A98="","",IFERROR(INDEX('Inventario General'!$C$5:$C$304,MATCH($A98,'Inventario General'!$A$5:$A$304,0))&amp;"","No está en el inventario"))</f>
        <v/>
      </c>
      <c r="C98" s="25" t="str">
        <f>IF($A98="","",IFERROR(INDEX('Inventario General'!$D$5:$D$304,MATCH($A98,'Inventario General'!$A$5:$A$304,0))&amp;"","No está en el inventario"))</f>
        <v/>
      </c>
      <c r="D98" s="25" t="str">
        <f>IF($A98="","",IFERROR(INDEX('Inventario General'!$I$5:$I$304,MATCH($A98,'Inventario General'!$A$5:$A$304,0))&amp;"","No está en el inventario"))</f>
        <v/>
      </c>
      <c r="E98" s="26"/>
      <c r="F98" s="26"/>
      <c r="G98" s="26"/>
      <c r="H98" s="26"/>
      <c r="I98" s="26"/>
      <c r="J98" s="44"/>
      <c r="K98" s="26"/>
      <c r="L98" s="26"/>
    </row>
    <row r="99" spans="1:12" x14ac:dyDescent="0.25">
      <c r="A99" s="26"/>
      <c r="B99" s="25" t="str">
        <f>IF($A99="","",IFERROR(INDEX('Inventario General'!$C$5:$C$304,MATCH($A99,'Inventario General'!$A$5:$A$304,0))&amp;"","No está en el inventario"))</f>
        <v/>
      </c>
      <c r="C99" s="25" t="str">
        <f>IF($A99="","",IFERROR(INDEX('Inventario General'!$D$5:$D$304,MATCH($A99,'Inventario General'!$A$5:$A$304,0))&amp;"","No está en el inventario"))</f>
        <v/>
      </c>
      <c r="D99" s="25" t="str">
        <f>IF($A99="","",IFERROR(INDEX('Inventario General'!$I$5:$I$304,MATCH($A99,'Inventario General'!$A$5:$A$304,0))&amp;"","No está en el inventario"))</f>
        <v/>
      </c>
      <c r="E99" s="26"/>
      <c r="F99" s="26"/>
      <c r="G99" s="26"/>
      <c r="H99" s="26"/>
      <c r="I99" s="26"/>
      <c r="J99" s="44"/>
      <c r="K99" s="26"/>
      <c r="L99" s="26"/>
    </row>
    <row r="100" spans="1:12" x14ac:dyDescent="0.25">
      <c r="A100" s="26"/>
      <c r="B100" s="25" t="str">
        <f>IF($A100="","",IFERROR(INDEX('Inventario General'!$C$5:$C$304,MATCH($A100,'Inventario General'!$A$5:$A$304,0))&amp;"","No está en el inventario"))</f>
        <v/>
      </c>
      <c r="C100" s="25" t="str">
        <f>IF($A100="","",IFERROR(INDEX('Inventario General'!$D$5:$D$304,MATCH($A100,'Inventario General'!$A$5:$A$304,0))&amp;"","No está en el inventario"))</f>
        <v/>
      </c>
      <c r="D100" s="25" t="str">
        <f>IF($A100="","",IFERROR(INDEX('Inventario General'!$I$5:$I$304,MATCH($A100,'Inventario General'!$A$5:$A$304,0))&amp;"","No está en el inventario"))</f>
        <v/>
      </c>
      <c r="E100" s="26"/>
      <c r="F100" s="26"/>
      <c r="G100" s="26"/>
      <c r="H100" s="26"/>
      <c r="I100" s="26"/>
      <c r="J100" s="44"/>
      <c r="K100" s="26"/>
      <c r="L100" s="26"/>
    </row>
    <row r="101" spans="1:12" x14ac:dyDescent="0.25">
      <c r="A101" s="26"/>
      <c r="B101" s="25" t="str">
        <f>IF($A101="","",IFERROR(INDEX('Inventario General'!$C$5:$C$304,MATCH($A101,'Inventario General'!$A$5:$A$304,0))&amp;"","No está en el inventario"))</f>
        <v/>
      </c>
      <c r="C101" s="25" t="str">
        <f>IF($A101="","",IFERROR(INDEX('Inventario General'!$D$5:$D$304,MATCH($A101,'Inventario General'!$A$5:$A$304,0))&amp;"","No está en el inventario"))</f>
        <v/>
      </c>
      <c r="D101" s="25" t="str">
        <f>IF($A101="","",IFERROR(INDEX('Inventario General'!$I$5:$I$304,MATCH($A101,'Inventario General'!$A$5:$A$304,0))&amp;"","No está en el inventario"))</f>
        <v/>
      </c>
      <c r="E101" s="26"/>
      <c r="F101" s="26"/>
      <c r="G101" s="26"/>
      <c r="H101" s="26"/>
      <c r="I101" s="26"/>
      <c r="J101" s="44"/>
      <c r="K101" s="26"/>
      <c r="L101" s="26"/>
    </row>
    <row r="102" spans="1:12" x14ac:dyDescent="0.25">
      <c r="A102" s="26"/>
      <c r="B102" s="25" t="str">
        <f>IF($A102="","",IFERROR(INDEX('Inventario General'!$C$5:$C$304,MATCH($A102,'Inventario General'!$A$5:$A$304,0))&amp;"","No está en el inventario"))</f>
        <v/>
      </c>
      <c r="C102" s="25" t="str">
        <f>IF($A102="","",IFERROR(INDEX('Inventario General'!$D$5:$D$304,MATCH($A102,'Inventario General'!$A$5:$A$304,0))&amp;"","No está en el inventario"))</f>
        <v/>
      </c>
      <c r="D102" s="25" t="str">
        <f>IF($A102="","",IFERROR(INDEX('Inventario General'!$I$5:$I$304,MATCH($A102,'Inventario General'!$A$5:$A$304,0))&amp;"","No está en el inventario"))</f>
        <v/>
      </c>
      <c r="E102" s="26"/>
      <c r="F102" s="26"/>
      <c r="G102" s="26"/>
      <c r="H102" s="26"/>
      <c r="I102" s="26"/>
      <c r="J102" s="44"/>
      <c r="K102" s="26"/>
      <c r="L102" s="26"/>
    </row>
    <row r="103" spans="1:12" x14ac:dyDescent="0.25">
      <c r="A103" s="26"/>
      <c r="B103" s="25" t="str">
        <f>IF($A103="","",IFERROR(INDEX('Inventario General'!$C$5:$C$304,MATCH($A103,'Inventario General'!$A$5:$A$304,0))&amp;"","No está en el inventario"))</f>
        <v/>
      </c>
      <c r="C103" s="25" t="str">
        <f>IF($A103="","",IFERROR(INDEX('Inventario General'!$D$5:$D$304,MATCH($A103,'Inventario General'!$A$5:$A$304,0))&amp;"","No está en el inventario"))</f>
        <v/>
      </c>
      <c r="D103" s="25" t="str">
        <f>IF($A103="","",IFERROR(INDEX('Inventario General'!$I$5:$I$304,MATCH($A103,'Inventario General'!$A$5:$A$304,0))&amp;"","No está en el inventario"))</f>
        <v/>
      </c>
      <c r="E103" s="26"/>
      <c r="F103" s="26"/>
      <c r="G103" s="26"/>
      <c r="H103" s="26"/>
      <c r="I103" s="26"/>
      <c r="J103" s="44"/>
      <c r="K103" s="26"/>
      <c r="L103" s="26"/>
    </row>
    <row r="104" spans="1:12" x14ac:dyDescent="0.25">
      <c r="A104" s="26"/>
      <c r="B104" s="25" t="str">
        <f>IF($A104="","",IFERROR(INDEX('Inventario General'!$C$5:$C$304,MATCH($A104,'Inventario General'!$A$5:$A$304,0))&amp;"","No está en el inventario"))</f>
        <v/>
      </c>
      <c r="C104" s="25" t="str">
        <f>IF($A104="","",IFERROR(INDEX('Inventario General'!$D$5:$D$304,MATCH($A104,'Inventario General'!$A$5:$A$304,0))&amp;"","No está en el inventario"))</f>
        <v/>
      </c>
      <c r="D104" s="25" t="str">
        <f>IF($A104="","",IFERROR(INDEX('Inventario General'!$I$5:$I$304,MATCH($A104,'Inventario General'!$A$5:$A$304,0))&amp;"","No está en el inventario"))</f>
        <v/>
      </c>
      <c r="E104" s="26"/>
      <c r="F104" s="26"/>
      <c r="G104" s="26"/>
      <c r="H104" s="26"/>
      <c r="I104" s="26"/>
      <c r="J104" s="44"/>
      <c r="K104" s="26"/>
      <c r="L104" s="26"/>
    </row>
    <row r="105" spans="1:12" x14ac:dyDescent="0.25">
      <c r="A105" s="26"/>
      <c r="B105" s="25" t="str">
        <f>IF($A105="","",IFERROR(INDEX('Inventario General'!$C$5:$C$304,MATCH($A105,'Inventario General'!$A$5:$A$304,0))&amp;"","No está en el inventario"))</f>
        <v/>
      </c>
      <c r="C105" s="25" t="str">
        <f>IF($A105="","",IFERROR(INDEX('Inventario General'!$D$5:$D$304,MATCH($A105,'Inventario General'!$A$5:$A$304,0))&amp;"","No está en el inventario"))</f>
        <v/>
      </c>
      <c r="D105" s="25" t="str">
        <f>IF($A105="","",IFERROR(INDEX('Inventario General'!$I$5:$I$304,MATCH($A105,'Inventario General'!$A$5:$A$304,0))&amp;"","No está en el inventario"))</f>
        <v/>
      </c>
      <c r="E105" s="26"/>
      <c r="F105" s="26"/>
      <c r="G105" s="26"/>
      <c r="H105" s="26"/>
      <c r="I105" s="26"/>
      <c r="J105" s="44"/>
      <c r="K105" s="26"/>
      <c r="L105" s="26"/>
    </row>
    <row r="106" spans="1:12" x14ac:dyDescent="0.25">
      <c r="A106" s="26"/>
      <c r="B106" s="25" t="str">
        <f>IF($A106="","",IFERROR(INDEX('Inventario General'!$C$5:$C$304,MATCH($A106,'Inventario General'!$A$5:$A$304,0))&amp;"","No está en el inventario"))</f>
        <v/>
      </c>
      <c r="C106" s="25" t="str">
        <f>IF($A106="","",IFERROR(INDEX('Inventario General'!$D$5:$D$304,MATCH($A106,'Inventario General'!$A$5:$A$304,0))&amp;"","No está en el inventario"))</f>
        <v/>
      </c>
      <c r="D106" s="25" t="str">
        <f>IF($A106="","",IFERROR(INDEX('Inventario General'!$I$5:$I$304,MATCH($A106,'Inventario General'!$A$5:$A$304,0))&amp;"","No está en el inventario"))</f>
        <v/>
      </c>
      <c r="E106" s="26"/>
      <c r="F106" s="26"/>
      <c r="G106" s="26"/>
      <c r="H106" s="26"/>
      <c r="I106" s="26"/>
      <c r="J106" s="44"/>
      <c r="K106" s="26"/>
      <c r="L106" s="26"/>
    </row>
    <row r="107" spans="1:12" x14ac:dyDescent="0.25">
      <c r="A107" s="26"/>
      <c r="B107" s="25" t="str">
        <f>IF($A107="","",IFERROR(INDEX('Inventario General'!$C$5:$C$304,MATCH($A107,'Inventario General'!$A$5:$A$304,0))&amp;"","No está en el inventario"))</f>
        <v/>
      </c>
      <c r="C107" s="25" t="str">
        <f>IF($A107="","",IFERROR(INDEX('Inventario General'!$D$5:$D$304,MATCH($A107,'Inventario General'!$A$5:$A$304,0))&amp;"","No está en el inventario"))</f>
        <v/>
      </c>
      <c r="D107" s="25" t="str">
        <f>IF($A107="","",IFERROR(INDEX('Inventario General'!$I$5:$I$304,MATCH($A107,'Inventario General'!$A$5:$A$304,0))&amp;"","No está en el inventario"))</f>
        <v/>
      </c>
      <c r="E107" s="26"/>
      <c r="F107" s="26"/>
      <c r="G107" s="26"/>
      <c r="H107" s="26"/>
      <c r="I107" s="26"/>
      <c r="J107" s="44"/>
      <c r="K107" s="26"/>
      <c r="L107" s="26"/>
    </row>
    <row r="108" spans="1:12" x14ac:dyDescent="0.25">
      <c r="A108" s="26"/>
      <c r="B108" s="25" t="str">
        <f>IF($A108="","",IFERROR(INDEX('Inventario General'!$C$5:$C$304,MATCH($A108,'Inventario General'!$A$5:$A$304,0))&amp;"","No está en el inventario"))</f>
        <v/>
      </c>
      <c r="C108" s="25" t="str">
        <f>IF($A108="","",IFERROR(INDEX('Inventario General'!$D$5:$D$304,MATCH($A108,'Inventario General'!$A$5:$A$304,0))&amp;"","No está en el inventario"))</f>
        <v/>
      </c>
      <c r="D108" s="25" t="str">
        <f>IF($A108="","",IFERROR(INDEX('Inventario General'!$I$5:$I$304,MATCH($A108,'Inventario General'!$A$5:$A$304,0))&amp;"","No está en el inventario"))</f>
        <v/>
      </c>
      <c r="E108" s="26"/>
      <c r="F108" s="26"/>
      <c r="G108" s="26"/>
      <c r="H108" s="26"/>
      <c r="I108" s="26"/>
      <c r="J108" s="44"/>
      <c r="K108" s="26"/>
      <c r="L108" s="26"/>
    </row>
    <row r="109" spans="1:12" x14ac:dyDescent="0.25">
      <c r="A109" s="26"/>
      <c r="B109" s="25" t="str">
        <f>IF($A109="","",IFERROR(INDEX('Inventario General'!$C$5:$C$304,MATCH($A109,'Inventario General'!$A$5:$A$304,0))&amp;"","No está en el inventario"))</f>
        <v/>
      </c>
      <c r="C109" s="25" t="str">
        <f>IF($A109="","",IFERROR(INDEX('Inventario General'!$D$5:$D$304,MATCH($A109,'Inventario General'!$A$5:$A$304,0))&amp;"","No está en el inventario"))</f>
        <v/>
      </c>
      <c r="D109" s="25" t="str">
        <f>IF($A109="","",IFERROR(INDEX('Inventario General'!$I$5:$I$304,MATCH($A109,'Inventario General'!$A$5:$A$304,0))&amp;"","No está en el inventario"))</f>
        <v/>
      </c>
      <c r="E109" s="26"/>
      <c r="F109" s="26"/>
      <c r="G109" s="26"/>
      <c r="H109" s="26"/>
      <c r="I109" s="26"/>
      <c r="J109" s="44"/>
      <c r="K109" s="26"/>
      <c r="L109" s="26"/>
    </row>
    <row r="110" spans="1:12" x14ac:dyDescent="0.25">
      <c r="A110" s="26"/>
      <c r="B110" s="25" t="str">
        <f>IF($A110="","",IFERROR(INDEX('Inventario General'!$C$5:$C$304,MATCH($A110,'Inventario General'!$A$5:$A$304,0))&amp;"","No está en el inventario"))</f>
        <v/>
      </c>
      <c r="C110" s="25" t="str">
        <f>IF($A110="","",IFERROR(INDEX('Inventario General'!$D$5:$D$304,MATCH($A110,'Inventario General'!$A$5:$A$304,0))&amp;"","No está en el inventario"))</f>
        <v/>
      </c>
      <c r="D110" s="25" t="str">
        <f>IF($A110="","",IFERROR(INDEX('Inventario General'!$I$5:$I$304,MATCH($A110,'Inventario General'!$A$5:$A$304,0))&amp;"","No está en el inventario"))</f>
        <v/>
      </c>
      <c r="E110" s="26"/>
      <c r="F110" s="26"/>
      <c r="G110" s="26"/>
      <c r="H110" s="26"/>
      <c r="I110" s="26"/>
      <c r="J110" s="44"/>
      <c r="K110" s="26"/>
      <c r="L110" s="26"/>
    </row>
    <row r="111" spans="1:12" x14ac:dyDescent="0.25">
      <c r="A111" s="26"/>
      <c r="B111" s="25" t="str">
        <f>IF($A111="","",IFERROR(INDEX('Inventario General'!$C$5:$C$304,MATCH($A111,'Inventario General'!$A$5:$A$304,0))&amp;"","No está en el inventario"))</f>
        <v/>
      </c>
      <c r="C111" s="25" t="str">
        <f>IF($A111="","",IFERROR(INDEX('Inventario General'!$D$5:$D$304,MATCH($A111,'Inventario General'!$A$5:$A$304,0))&amp;"","No está en el inventario"))</f>
        <v/>
      </c>
      <c r="D111" s="25" t="str">
        <f>IF($A111="","",IFERROR(INDEX('Inventario General'!$I$5:$I$304,MATCH($A111,'Inventario General'!$A$5:$A$304,0))&amp;"","No está en el inventario"))</f>
        <v/>
      </c>
      <c r="E111" s="26"/>
      <c r="F111" s="26"/>
      <c r="G111" s="26"/>
      <c r="H111" s="26"/>
      <c r="I111" s="26"/>
      <c r="J111" s="44"/>
      <c r="K111" s="26"/>
      <c r="L111" s="26"/>
    </row>
    <row r="112" spans="1:12" x14ac:dyDescent="0.25">
      <c r="A112" s="26"/>
      <c r="B112" s="25" t="str">
        <f>IF($A112="","",IFERROR(INDEX('Inventario General'!$C$5:$C$304,MATCH($A112,'Inventario General'!$A$5:$A$304,0))&amp;"","No está en el inventario"))</f>
        <v/>
      </c>
      <c r="C112" s="25" t="str">
        <f>IF($A112="","",IFERROR(INDEX('Inventario General'!$D$5:$D$304,MATCH($A112,'Inventario General'!$A$5:$A$304,0))&amp;"","No está en el inventario"))</f>
        <v/>
      </c>
      <c r="D112" s="25" t="str">
        <f>IF($A112="","",IFERROR(INDEX('Inventario General'!$I$5:$I$304,MATCH($A112,'Inventario General'!$A$5:$A$304,0))&amp;"","No está en el inventario"))</f>
        <v/>
      </c>
      <c r="E112" s="26"/>
      <c r="F112" s="26"/>
      <c r="G112" s="26"/>
      <c r="H112" s="26"/>
      <c r="I112" s="26"/>
      <c r="J112" s="44"/>
      <c r="K112" s="26"/>
      <c r="L112" s="26"/>
    </row>
    <row r="113" spans="1:12" x14ac:dyDescent="0.25">
      <c r="A113" s="26"/>
      <c r="B113" s="25" t="str">
        <f>IF($A113="","",IFERROR(INDEX('Inventario General'!$C$5:$C$304,MATCH($A113,'Inventario General'!$A$5:$A$304,0))&amp;"","No está en el inventario"))</f>
        <v/>
      </c>
      <c r="C113" s="25" t="str">
        <f>IF($A113="","",IFERROR(INDEX('Inventario General'!$D$5:$D$304,MATCH($A113,'Inventario General'!$A$5:$A$304,0))&amp;"","No está en el inventario"))</f>
        <v/>
      </c>
      <c r="D113" s="25" t="str">
        <f>IF($A113="","",IFERROR(INDEX('Inventario General'!$I$5:$I$304,MATCH($A113,'Inventario General'!$A$5:$A$304,0))&amp;"","No está en el inventario"))</f>
        <v/>
      </c>
      <c r="E113" s="26"/>
      <c r="F113" s="26"/>
      <c r="G113" s="26"/>
      <c r="H113" s="26"/>
      <c r="I113" s="26"/>
      <c r="J113" s="44"/>
      <c r="K113" s="26"/>
      <c r="L113" s="26"/>
    </row>
    <row r="114" spans="1:12" x14ac:dyDescent="0.25">
      <c r="A114" s="26"/>
      <c r="B114" s="25" t="str">
        <f>IF($A114="","",IFERROR(INDEX('Inventario General'!$C$5:$C$304,MATCH($A114,'Inventario General'!$A$5:$A$304,0))&amp;"","No está en el inventario"))</f>
        <v/>
      </c>
      <c r="C114" s="25" t="str">
        <f>IF($A114="","",IFERROR(INDEX('Inventario General'!$D$5:$D$304,MATCH($A114,'Inventario General'!$A$5:$A$304,0))&amp;"","No está en el inventario"))</f>
        <v/>
      </c>
      <c r="D114" s="25" t="str">
        <f>IF($A114="","",IFERROR(INDEX('Inventario General'!$I$5:$I$304,MATCH($A114,'Inventario General'!$A$5:$A$304,0))&amp;"","No está en el inventario"))</f>
        <v/>
      </c>
      <c r="E114" s="26"/>
      <c r="F114" s="26"/>
      <c r="G114" s="26"/>
      <c r="H114" s="26"/>
      <c r="I114" s="26"/>
      <c r="J114" s="44"/>
      <c r="K114" s="26"/>
      <c r="L114" s="26"/>
    </row>
    <row r="115" spans="1:12" x14ac:dyDescent="0.25">
      <c r="A115" s="26"/>
      <c r="B115" s="25" t="str">
        <f>IF($A115="","",IFERROR(INDEX('Inventario General'!$C$5:$C$304,MATCH($A115,'Inventario General'!$A$5:$A$304,0))&amp;"","No está en el inventario"))</f>
        <v/>
      </c>
      <c r="C115" s="25" t="str">
        <f>IF($A115="","",IFERROR(INDEX('Inventario General'!$D$5:$D$304,MATCH($A115,'Inventario General'!$A$5:$A$304,0))&amp;"","No está en el inventario"))</f>
        <v/>
      </c>
      <c r="D115" s="25" t="str">
        <f>IF($A115="","",IFERROR(INDEX('Inventario General'!$I$5:$I$304,MATCH($A115,'Inventario General'!$A$5:$A$304,0))&amp;"","No está en el inventario"))</f>
        <v/>
      </c>
      <c r="E115" s="26"/>
      <c r="F115" s="26"/>
      <c r="G115" s="26"/>
      <c r="H115" s="26"/>
      <c r="I115" s="26"/>
      <c r="J115" s="44"/>
      <c r="K115" s="26"/>
      <c r="L115" s="26"/>
    </row>
    <row r="116" spans="1:12" x14ac:dyDescent="0.25">
      <c r="A116" s="26"/>
      <c r="B116" s="25" t="str">
        <f>IF($A116="","",IFERROR(INDEX('Inventario General'!$C$5:$C$304,MATCH($A116,'Inventario General'!$A$5:$A$304,0))&amp;"","No está en el inventario"))</f>
        <v/>
      </c>
      <c r="C116" s="25" t="str">
        <f>IF($A116="","",IFERROR(INDEX('Inventario General'!$D$5:$D$304,MATCH($A116,'Inventario General'!$A$5:$A$304,0))&amp;"","No está en el inventario"))</f>
        <v/>
      </c>
      <c r="D116" s="25" t="str">
        <f>IF($A116="","",IFERROR(INDEX('Inventario General'!$I$5:$I$304,MATCH($A116,'Inventario General'!$A$5:$A$304,0))&amp;"","No está en el inventario"))</f>
        <v/>
      </c>
      <c r="E116" s="26"/>
      <c r="F116" s="26"/>
      <c r="G116" s="26"/>
      <c r="H116" s="26"/>
      <c r="I116" s="26"/>
      <c r="J116" s="44"/>
      <c r="K116" s="26"/>
      <c r="L116" s="26"/>
    </row>
    <row r="117" spans="1:12" x14ac:dyDescent="0.25">
      <c r="A117" s="26"/>
      <c r="B117" s="25" t="str">
        <f>IF($A117="","",IFERROR(INDEX('Inventario General'!$C$5:$C$304,MATCH($A117,'Inventario General'!$A$5:$A$304,0))&amp;"","No está en el inventario"))</f>
        <v/>
      </c>
      <c r="C117" s="25" t="str">
        <f>IF($A117="","",IFERROR(INDEX('Inventario General'!$D$5:$D$304,MATCH($A117,'Inventario General'!$A$5:$A$304,0))&amp;"","No está en el inventario"))</f>
        <v/>
      </c>
      <c r="D117" s="25" t="str">
        <f>IF($A117="","",IFERROR(INDEX('Inventario General'!$I$5:$I$304,MATCH($A117,'Inventario General'!$A$5:$A$304,0))&amp;"","No está en el inventario"))</f>
        <v/>
      </c>
      <c r="E117" s="26"/>
      <c r="F117" s="26"/>
      <c r="G117" s="26"/>
      <c r="H117" s="26"/>
      <c r="I117" s="26"/>
      <c r="J117" s="44"/>
      <c r="K117" s="26"/>
      <c r="L117" s="26"/>
    </row>
    <row r="118" spans="1:12" x14ac:dyDescent="0.25">
      <c r="A118" s="26"/>
      <c r="B118" s="25" t="str">
        <f>IF($A118="","",IFERROR(INDEX('Inventario General'!$C$5:$C$304,MATCH($A118,'Inventario General'!$A$5:$A$304,0))&amp;"","No está en el inventario"))</f>
        <v/>
      </c>
      <c r="C118" s="25" t="str">
        <f>IF($A118="","",IFERROR(INDEX('Inventario General'!$D$5:$D$304,MATCH($A118,'Inventario General'!$A$5:$A$304,0))&amp;"","No está en el inventario"))</f>
        <v/>
      </c>
      <c r="D118" s="25" t="str">
        <f>IF($A118="","",IFERROR(INDEX('Inventario General'!$I$5:$I$304,MATCH($A118,'Inventario General'!$A$5:$A$304,0))&amp;"","No está en el inventario"))</f>
        <v/>
      </c>
      <c r="E118" s="26"/>
      <c r="F118" s="26"/>
      <c r="G118" s="26"/>
      <c r="H118" s="26"/>
      <c r="I118" s="26"/>
      <c r="J118" s="44"/>
      <c r="K118" s="26"/>
      <c r="L118" s="26"/>
    </row>
    <row r="119" spans="1:12" x14ac:dyDescent="0.25">
      <c r="A119" s="26"/>
      <c r="B119" s="25" t="str">
        <f>IF($A119="","",IFERROR(INDEX('Inventario General'!$C$5:$C$304,MATCH($A119,'Inventario General'!$A$5:$A$304,0))&amp;"","No está en el inventario"))</f>
        <v/>
      </c>
      <c r="C119" s="25" t="str">
        <f>IF($A119="","",IFERROR(INDEX('Inventario General'!$D$5:$D$304,MATCH($A119,'Inventario General'!$A$5:$A$304,0))&amp;"","No está en el inventario"))</f>
        <v/>
      </c>
      <c r="D119" s="25" t="str">
        <f>IF($A119="","",IFERROR(INDEX('Inventario General'!$I$5:$I$304,MATCH($A119,'Inventario General'!$A$5:$A$304,0))&amp;"","No está en el inventario"))</f>
        <v/>
      </c>
      <c r="E119" s="26"/>
      <c r="F119" s="26"/>
      <c r="G119" s="26"/>
      <c r="H119" s="26"/>
      <c r="I119" s="26"/>
      <c r="J119" s="44"/>
      <c r="K119" s="26"/>
      <c r="L119" s="26"/>
    </row>
    <row r="120" spans="1:12" x14ac:dyDescent="0.25">
      <c r="A120" s="26"/>
      <c r="B120" s="25" t="str">
        <f>IF($A120="","",IFERROR(INDEX('Inventario General'!$C$5:$C$304,MATCH($A120,'Inventario General'!$A$5:$A$304,0))&amp;"","No está en el inventario"))</f>
        <v/>
      </c>
      <c r="C120" s="25" t="str">
        <f>IF($A120="","",IFERROR(INDEX('Inventario General'!$D$5:$D$304,MATCH($A120,'Inventario General'!$A$5:$A$304,0))&amp;"","No está en el inventario"))</f>
        <v/>
      </c>
      <c r="D120" s="25" t="str">
        <f>IF($A120="","",IFERROR(INDEX('Inventario General'!$I$5:$I$304,MATCH($A120,'Inventario General'!$A$5:$A$304,0))&amp;"","No está en el inventario"))</f>
        <v/>
      </c>
      <c r="E120" s="26"/>
      <c r="F120" s="26"/>
      <c r="G120" s="26"/>
      <c r="H120" s="26"/>
      <c r="I120" s="26"/>
      <c r="J120" s="44"/>
      <c r="K120" s="26"/>
      <c r="L120" s="26"/>
    </row>
    <row r="121" spans="1:12" x14ac:dyDescent="0.25">
      <c r="A121" s="26"/>
      <c r="B121" s="25" t="str">
        <f>IF($A121="","",IFERROR(INDEX('Inventario General'!$C$5:$C$304,MATCH($A121,'Inventario General'!$A$5:$A$304,0))&amp;"","No está en el inventario"))</f>
        <v/>
      </c>
      <c r="C121" s="25" t="str">
        <f>IF($A121="","",IFERROR(INDEX('Inventario General'!$D$5:$D$304,MATCH($A121,'Inventario General'!$A$5:$A$304,0))&amp;"","No está en el inventario"))</f>
        <v/>
      </c>
      <c r="D121" s="25" t="str">
        <f>IF($A121="","",IFERROR(INDEX('Inventario General'!$I$5:$I$304,MATCH($A121,'Inventario General'!$A$5:$A$304,0))&amp;"","No está en el inventario"))</f>
        <v/>
      </c>
      <c r="E121" s="26"/>
      <c r="F121" s="26"/>
      <c r="G121" s="26"/>
      <c r="H121" s="26"/>
      <c r="I121" s="26"/>
      <c r="J121" s="44"/>
      <c r="K121" s="26"/>
      <c r="L121" s="26"/>
    </row>
    <row r="122" spans="1:12" x14ac:dyDescent="0.25">
      <c r="A122" s="26"/>
      <c r="B122" s="25" t="str">
        <f>IF($A122="","",IFERROR(INDEX('Inventario General'!$C$5:$C$304,MATCH($A122,'Inventario General'!$A$5:$A$304,0))&amp;"","No está en el inventario"))</f>
        <v/>
      </c>
      <c r="C122" s="25" t="str">
        <f>IF($A122="","",IFERROR(INDEX('Inventario General'!$D$5:$D$304,MATCH($A122,'Inventario General'!$A$5:$A$304,0))&amp;"","No está en el inventario"))</f>
        <v/>
      </c>
      <c r="D122" s="25" t="str">
        <f>IF($A122="","",IFERROR(INDEX('Inventario General'!$I$5:$I$304,MATCH($A122,'Inventario General'!$A$5:$A$304,0))&amp;"","No está en el inventario"))</f>
        <v/>
      </c>
      <c r="E122" s="26"/>
      <c r="F122" s="26"/>
      <c r="G122" s="26"/>
      <c r="H122" s="26"/>
      <c r="I122" s="26"/>
      <c r="J122" s="44"/>
      <c r="K122" s="26"/>
      <c r="L122" s="26"/>
    </row>
    <row r="123" spans="1:12" x14ac:dyDescent="0.25">
      <c r="A123" s="26"/>
      <c r="B123" s="25" t="str">
        <f>IF($A123="","",IFERROR(INDEX('Inventario General'!$C$5:$C$304,MATCH($A123,'Inventario General'!$A$5:$A$304,0))&amp;"","No está en el inventario"))</f>
        <v/>
      </c>
      <c r="C123" s="25" t="str">
        <f>IF($A123="","",IFERROR(INDEX('Inventario General'!$D$5:$D$304,MATCH($A123,'Inventario General'!$A$5:$A$304,0))&amp;"","No está en el inventario"))</f>
        <v/>
      </c>
      <c r="D123" s="25" t="str">
        <f>IF($A123="","",IFERROR(INDEX('Inventario General'!$I$5:$I$304,MATCH($A123,'Inventario General'!$A$5:$A$304,0))&amp;"","No está en el inventario"))</f>
        <v/>
      </c>
      <c r="E123" s="26"/>
      <c r="F123" s="26"/>
      <c r="G123" s="26"/>
      <c r="H123" s="26"/>
      <c r="I123" s="26"/>
      <c r="J123" s="44"/>
      <c r="K123" s="26"/>
      <c r="L123" s="26"/>
    </row>
    <row r="124" spans="1:12" x14ac:dyDescent="0.25">
      <c r="A124" s="26"/>
      <c r="B124" s="25" t="str">
        <f>IF($A124="","",IFERROR(INDEX('Inventario General'!$C$5:$C$304,MATCH($A124,'Inventario General'!$A$5:$A$304,0))&amp;"","No está en el inventario"))</f>
        <v/>
      </c>
      <c r="C124" s="25" t="str">
        <f>IF($A124="","",IFERROR(INDEX('Inventario General'!$D$5:$D$304,MATCH($A124,'Inventario General'!$A$5:$A$304,0))&amp;"","No está en el inventario"))</f>
        <v/>
      </c>
      <c r="D124" s="25" t="str">
        <f>IF($A124="","",IFERROR(INDEX('Inventario General'!$I$5:$I$304,MATCH($A124,'Inventario General'!$A$5:$A$304,0))&amp;"","No está en el inventario"))</f>
        <v/>
      </c>
      <c r="E124" s="26"/>
      <c r="F124" s="26"/>
      <c r="G124" s="26"/>
      <c r="H124" s="26"/>
      <c r="I124" s="26"/>
      <c r="J124" s="44"/>
      <c r="K124" s="26"/>
      <c r="L124" s="26"/>
    </row>
    <row r="125" spans="1:12" x14ac:dyDescent="0.25">
      <c r="A125" s="26"/>
      <c r="B125" s="25" t="str">
        <f>IF($A125="","",IFERROR(INDEX('Inventario General'!$C$5:$C$304,MATCH($A125,'Inventario General'!$A$5:$A$304,0))&amp;"","No está en el inventario"))</f>
        <v/>
      </c>
      <c r="C125" s="25" t="str">
        <f>IF($A125="","",IFERROR(INDEX('Inventario General'!$D$5:$D$304,MATCH($A125,'Inventario General'!$A$5:$A$304,0))&amp;"","No está en el inventario"))</f>
        <v/>
      </c>
      <c r="D125" s="25" t="str">
        <f>IF($A125="","",IFERROR(INDEX('Inventario General'!$I$5:$I$304,MATCH($A125,'Inventario General'!$A$5:$A$304,0))&amp;"","No está en el inventario"))</f>
        <v/>
      </c>
      <c r="E125" s="26"/>
      <c r="F125" s="26"/>
      <c r="G125" s="26"/>
      <c r="H125" s="26"/>
      <c r="I125" s="26"/>
      <c r="J125" s="44"/>
      <c r="K125" s="26"/>
      <c r="L125" s="26"/>
    </row>
    <row r="126" spans="1:12" x14ac:dyDescent="0.25">
      <c r="A126" s="26"/>
      <c r="B126" s="25" t="str">
        <f>IF($A126="","",IFERROR(INDEX('Inventario General'!$C$5:$C$304,MATCH($A126,'Inventario General'!$A$5:$A$304,0))&amp;"","No está en el inventario"))</f>
        <v/>
      </c>
      <c r="C126" s="25" t="str">
        <f>IF($A126="","",IFERROR(INDEX('Inventario General'!$D$5:$D$304,MATCH($A126,'Inventario General'!$A$5:$A$304,0))&amp;"","No está en el inventario"))</f>
        <v/>
      </c>
      <c r="D126" s="25" t="str">
        <f>IF($A126="","",IFERROR(INDEX('Inventario General'!$I$5:$I$304,MATCH($A126,'Inventario General'!$A$5:$A$304,0))&amp;"","No está en el inventario"))</f>
        <v/>
      </c>
      <c r="E126" s="26"/>
      <c r="F126" s="26"/>
      <c r="G126" s="26"/>
      <c r="H126" s="26"/>
      <c r="I126" s="26"/>
      <c r="J126" s="44"/>
      <c r="K126" s="26"/>
      <c r="L126" s="26"/>
    </row>
    <row r="127" spans="1:12" x14ac:dyDescent="0.25">
      <c r="A127" s="26"/>
      <c r="B127" s="25" t="str">
        <f>IF($A127="","",IFERROR(INDEX('Inventario General'!$C$5:$C$304,MATCH($A127,'Inventario General'!$A$5:$A$304,0))&amp;"","No está en el inventario"))</f>
        <v/>
      </c>
      <c r="C127" s="25" t="str">
        <f>IF($A127="","",IFERROR(INDEX('Inventario General'!$D$5:$D$304,MATCH($A127,'Inventario General'!$A$5:$A$304,0))&amp;"","No está en el inventario"))</f>
        <v/>
      </c>
      <c r="D127" s="25" t="str">
        <f>IF($A127="","",IFERROR(INDEX('Inventario General'!$I$5:$I$304,MATCH($A127,'Inventario General'!$A$5:$A$304,0))&amp;"","No está en el inventario"))</f>
        <v/>
      </c>
      <c r="E127" s="26"/>
      <c r="F127" s="26"/>
      <c r="G127" s="26"/>
      <c r="H127" s="26"/>
      <c r="I127" s="26"/>
      <c r="J127" s="44"/>
      <c r="K127" s="26"/>
      <c r="L127" s="26"/>
    </row>
    <row r="128" spans="1:12" x14ac:dyDescent="0.25">
      <c r="A128" s="26"/>
      <c r="B128" s="25" t="str">
        <f>IF($A128="","",IFERROR(INDEX('Inventario General'!$C$5:$C$304,MATCH($A128,'Inventario General'!$A$5:$A$304,0))&amp;"","No está en el inventario"))</f>
        <v/>
      </c>
      <c r="C128" s="25" t="str">
        <f>IF($A128="","",IFERROR(INDEX('Inventario General'!$D$5:$D$304,MATCH($A128,'Inventario General'!$A$5:$A$304,0))&amp;"","No está en el inventario"))</f>
        <v/>
      </c>
      <c r="D128" s="25" t="str">
        <f>IF($A128="","",IFERROR(INDEX('Inventario General'!$I$5:$I$304,MATCH($A128,'Inventario General'!$A$5:$A$304,0))&amp;"","No está en el inventario"))</f>
        <v/>
      </c>
      <c r="E128" s="26"/>
      <c r="F128" s="26"/>
      <c r="G128" s="26"/>
      <c r="H128" s="26"/>
      <c r="I128" s="26"/>
      <c r="J128" s="44"/>
      <c r="K128" s="26"/>
      <c r="L128" s="26"/>
    </row>
    <row r="129" spans="1:12" x14ac:dyDescent="0.25">
      <c r="A129" s="26"/>
      <c r="B129" s="25" t="str">
        <f>IF($A129="","",IFERROR(INDEX('Inventario General'!$C$5:$C$304,MATCH($A129,'Inventario General'!$A$5:$A$304,0))&amp;"","No está en el inventario"))</f>
        <v/>
      </c>
      <c r="C129" s="25" t="str">
        <f>IF($A129="","",IFERROR(INDEX('Inventario General'!$D$5:$D$304,MATCH($A129,'Inventario General'!$A$5:$A$304,0))&amp;"","No está en el inventario"))</f>
        <v/>
      </c>
      <c r="D129" s="25" t="str">
        <f>IF($A129="","",IFERROR(INDEX('Inventario General'!$I$5:$I$304,MATCH($A129,'Inventario General'!$A$5:$A$304,0))&amp;"","No está en el inventario"))</f>
        <v/>
      </c>
      <c r="E129" s="26"/>
      <c r="F129" s="26"/>
      <c r="G129" s="26"/>
      <c r="H129" s="26"/>
      <c r="I129" s="26"/>
      <c r="J129" s="44"/>
      <c r="K129" s="26"/>
      <c r="L129" s="26"/>
    </row>
    <row r="130" spans="1:12" x14ac:dyDescent="0.25">
      <c r="A130" s="26"/>
      <c r="B130" s="25" t="str">
        <f>IF($A130="","",IFERROR(INDEX('Inventario General'!$C$5:$C$304,MATCH($A130,'Inventario General'!$A$5:$A$304,0))&amp;"","No está en el inventario"))</f>
        <v/>
      </c>
      <c r="C130" s="25" t="str">
        <f>IF($A130="","",IFERROR(INDEX('Inventario General'!$D$5:$D$304,MATCH($A130,'Inventario General'!$A$5:$A$304,0))&amp;"","No está en el inventario"))</f>
        <v/>
      </c>
      <c r="D130" s="25" t="str">
        <f>IF($A130="","",IFERROR(INDEX('Inventario General'!$I$5:$I$304,MATCH($A130,'Inventario General'!$A$5:$A$304,0))&amp;"","No está en el inventario"))</f>
        <v/>
      </c>
      <c r="E130" s="26"/>
      <c r="F130" s="26"/>
      <c r="G130" s="26"/>
      <c r="H130" s="26"/>
      <c r="I130" s="26"/>
      <c r="J130" s="44"/>
      <c r="K130" s="26"/>
      <c r="L130" s="26"/>
    </row>
    <row r="131" spans="1:12" x14ac:dyDescent="0.25">
      <c r="A131" s="26"/>
      <c r="B131" s="25" t="str">
        <f>IF($A131="","",IFERROR(INDEX('Inventario General'!$C$5:$C$304,MATCH($A131,'Inventario General'!$A$5:$A$304,0))&amp;"","No está en el inventario"))</f>
        <v/>
      </c>
      <c r="C131" s="25" t="str">
        <f>IF($A131="","",IFERROR(INDEX('Inventario General'!$D$5:$D$304,MATCH($A131,'Inventario General'!$A$5:$A$304,0))&amp;"","No está en el inventario"))</f>
        <v/>
      </c>
      <c r="D131" s="25" t="str">
        <f>IF($A131="","",IFERROR(INDEX('Inventario General'!$I$5:$I$304,MATCH($A131,'Inventario General'!$A$5:$A$304,0))&amp;"","No está en el inventario"))</f>
        <v/>
      </c>
      <c r="E131" s="26"/>
      <c r="F131" s="26"/>
      <c r="G131" s="26"/>
      <c r="H131" s="26"/>
      <c r="I131" s="26"/>
      <c r="J131" s="44"/>
      <c r="K131" s="26"/>
      <c r="L131" s="26"/>
    </row>
    <row r="132" spans="1:12" x14ac:dyDescent="0.25">
      <c r="A132" s="26"/>
      <c r="B132" s="25" t="str">
        <f>IF($A132="","",IFERROR(INDEX('Inventario General'!$C$5:$C$304,MATCH($A132,'Inventario General'!$A$5:$A$304,0))&amp;"","No está en el inventario"))</f>
        <v/>
      </c>
      <c r="C132" s="25" t="str">
        <f>IF($A132="","",IFERROR(INDEX('Inventario General'!$D$5:$D$304,MATCH($A132,'Inventario General'!$A$5:$A$304,0))&amp;"","No está en el inventario"))</f>
        <v/>
      </c>
      <c r="D132" s="25" t="str">
        <f>IF($A132="","",IFERROR(INDEX('Inventario General'!$I$5:$I$304,MATCH($A132,'Inventario General'!$A$5:$A$304,0))&amp;"","No está en el inventario"))</f>
        <v/>
      </c>
      <c r="E132" s="26"/>
      <c r="F132" s="26"/>
      <c r="G132" s="26"/>
      <c r="H132" s="26"/>
      <c r="I132" s="26"/>
      <c r="J132" s="44"/>
      <c r="K132" s="26"/>
      <c r="L132" s="26"/>
    </row>
    <row r="133" spans="1:12" x14ac:dyDescent="0.25">
      <c r="A133" s="26"/>
      <c r="B133" s="25" t="str">
        <f>IF($A133="","",IFERROR(INDEX('Inventario General'!$C$5:$C$304,MATCH($A133,'Inventario General'!$A$5:$A$304,0))&amp;"","No está en el inventario"))</f>
        <v/>
      </c>
      <c r="C133" s="25" t="str">
        <f>IF($A133="","",IFERROR(INDEX('Inventario General'!$D$5:$D$304,MATCH($A133,'Inventario General'!$A$5:$A$304,0))&amp;"","No está en el inventario"))</f>
        <v/>
      </c>
      <c r="D133" s="25" t="str">
        <f>IF($A133="","",IFERROR(INDEX('Inventario General'!$I$5:$I$304,MATCH($A133,'Inventario General'!$A$5:$A$304,0))&amp;"","No está en el inventario"))</f>
        <v/>
      </c>
      <c r="E133" s="26"/>
      <c r="F133" s="26"/>
      <c r="G133" s="26"/>
      <c r="H133" s="26"/>
      <c r="I133" s="26"/>
      <c r="J133" s="44"/>
      <c r="K133" s="26"/>
      <c r="L133" s="26"/>
    </row>
    <row r="134" spans="1:12" x14ac:dyDescent="0.25">
      <c r="A134" s="26"/>
      <c r="B134" s="25" t="str">
        <f>IF($A134="","",IFERROR(INDEX('Inventario General'!$C$5:$C$304,MATCH($A134,'Inventario General'!$A$5:$A$304,0))&amp;"","No está en el inventario"))</f>
        <v/>
      </c>
      <c r="C134" s="25" t="str">
        <f>IF($A134="","",IFERROR(INDEX('Inventario General'!$D$5:$D$304,MATCH($A134,'Inventario General'!$A$5:$A$304,0))&amp;"","No está en el inventario"))</f>
        <v/>
      </c>
      <c r="D134" s="25" t="str">
        <f>IF($A134="","",IFERROR(INDEX('Inventario General'!$I$5:$I$304,MATCH($A134,'Inventario General'!$A$5:$A$304,0))&amp;"","No está en el inventario"))</f>
        <v/>
      </c>
      <c r="E134" s="26"/>
      <c r="F134" s="26"/>
      <c r="G134" s="26"/>
      <c r="H134" s="26"/>
      <c r="I134" s="26"/>
      <c r="J134" s="44"/>
      <c r="K134" s="26"/>
      <c r="L134" s="26"/>
    </row>
    <row r="135" spans="1:12" x14ac:dyDescent="0.25">
      <c r="A135" s="26"/>
      <c r="B135" s="25" t="str">
        <f>IF($A135="","",IFERROR(INDEX('Inventario General'!$C$5:$C$304,MATCH($A135,'Inventario General'!$A$5:$A$304,0))&amp;"","No está en el inventario"))</f>
        <v/>
      </c>
      <c r="C135" s="25" t="str">
        <f>IF($A135="","",IFERROR(INDEX('Inventario General'!$D$5:$D$304,MATCH($A135,'Inventario General'!$A$5:$A$304,0))&amp;"","No está en el inventario"))</f>
        <v/>
      </c>
      <c r="D135" s="25" t="str">
        <f>IF($A135="","",IFERROR(INDEX('Inventario General'!$I$5:$I$304,MATCH($A135,'Inventario General'!$A$5:$A$304,0))&amp;"","No está en el inventario"))</f>
        <v/>
      </c>
      <c r="E135" s="26"/>
      <c r="F135" s="26"/>
      <c r="G135" s="26"/>
      <c r="H135" s="26"/>
      <c r="I135" s="26"/>
      <c r="J135" s="44"/>
      <c r="K135" s="26"/>
      <c r="L135" s="26"/>
    </row>
    <row r="136" spans="1:12" x14ac:dyDescent="0.25">
      <c r="A136" s="26"/>
      <c r="B136" s="25" t="str">
        <f>IF($A136="","",IFERROR(INDEX('Inventario General'!$C$5:$C$304,MATCH($A136,'Inventario General'!$A$5:$A$304,0))&amp;"","No está en el inventario"))</f>
        <v/>
      </c>
      <c r="C136" s="25" t="str">
        <f>IF($A136="","",IFERROR(INDEX('Inventario General'!$D$5:$D$304,MATCH($A136,'Inventario General'!$A$5:$A$304,0))&amp;"","No está en el inventario"))</f>
        <v/>
      </c>
      <c r="D136" s="25" t="str">
        <f>IF($A136="","",IFERROR(INDEX('Inventario General'!$I$5:$I$304,MATCH($A136,'Inventario General'!$A$5:$A$304,0))&amp;"","No está en el inventario"))</f>
        <v/>
      </c>
      <c r="E136" s="26"/>
      <c r="F136" s="26"/>
      <c r="G136" s="26"/>
      <c r="H136" s="26"/>
      <c r="I136" s="26"/>
      <c r="J136" s="44"/>
      <c r="K136" s="26"/>
      <c r="L136" s="26"/>
    </row>
    <row r="137" spans="1:12" x14ac:dyDescent="0.25">
      <c r="A137" s="26"/>
      <c r="B137" s="25" t="str">
        <f>IF($A137="","",IFERROR(INDEX('Inventario General'!$C$5:$C$304,MATCH($A137,'Inventario General'!$A$5:$A$304,0))&amp;"","No está en el inventario"))</f>
        <v/>
      </c>
      <c r="C137" s="25" t="str">
        <f>IF($A137="","",IFERROR(INDEX('Inventario General'!$D$5:$D$304,MATCH($A137,'Inventario General'!$A$5:$A$304,0))&amp;"","No está en el inventario"))</f>
        <v/>
      </c>
      <c r="D137" s="25" t="str">
        <f>IF($A137="","",IFERROR(INDEX('Inventario General'!$I$5:$I$304,MATCH($A137,'Inventario General'!$A$5:$A$304,0))&amp;"","No está en el inventario"))</f>
        <v/>
      </c>
      <c r="E137" s="26"/>
      <c r="F137" s="26"/>
      <c r="G137" s="26"/>
      <c r="H137" s="26"/>
      <c r="I137" s="26"/>
      <c r="J137" s="44"/>
      <c r="K137" s="26"/>
      <c r="L137" s="26"/>
    </row>
    <row r="138" spans="1:12" x14ac:dyDescent="0.25">
      <c r="A138" s="26"/>
      <c r="B138" s="25" t="str">
        <f>IF($A138="","",IFERROR(INDEX('Inventario General'!$C$5:$C$304,MATCH($A138,'Inventario General'!$A$5:$A$304,0))&amp;"","No está en el inventario"))</f>
        <v/>
      </c>
      <c r="C138" s="25" t="str">
        <f>IF($A138="","",IFERROR(INDEX('Inventario General'!$D$5:$D$304,MATCH($A138,'Inventario General'!$A$5:$A$304,0))&amp;"","No está en el inventario"))</f>
        <v/>
      </c>
      <c r="D138" s="25" t="str">
        <f>IF($A138="","",IFERROR(INDEX('Inventario General'!$I$5:$I$304,MATCH($A138,'Inventario General'!$A$5:$A$304,0))&amp;"","No está en el inventario"))</f>
        <v/>
      </c>
      <c r="E138" s="26"/>
      <c r="F138" s="26"/>
      <c r="G138" s="26"/>
      <c r="H138" s="26"/>
      <c r="I138" s="26"/>
      <c r="J138" s="44"/>
      <c r="K138" s="26"/>
      <c r="L138" s="26"/>
    </row>
    <row r="139" spans="1:12" x14ac:dyDescent="0.25">
      <c r="A139" s="26"/>
      <c r="B139" s="25" t="str">
        <f>IF($A139="","",IFERROR(INDEX('Inventario General'!$C$5:$C$304,MATCH($A139,'Inventario General'!$A$5:$A$304,0))&amp;"","No está en el inventario"))</f>
        <v/>
      </c>
      <c r="C139" s="25" t="str">
        <f>IF($A139="","",IFERROR(INDEX('Inventario General'!$D$5:$D$304,MATCH($A139,'Inventario General'!$A$5:$A$304,0))&amp;"","No está en el inventario"))</f>
        <v/>
      </c>
      <c r="D139" s="25" t="str">
        <f>IF($A139="","",IFERROR(INDEX('Inventario General'!$I$5:$I$304,MATCH($A139,'Inventario General'!$A$5:$A$304,0))&amp;"","No está en el inventario"))</f>
        <v/>
      </c>
      <c r="E139" s="26"/>
      <c r="F139" s="26"/>
      <c r="G139" s="26"/>
      <c r="H139" s="26"/>
      <c r="I139" s="26"/>
      <c r="J139" s="44"/>
      <c r="K139" s="26"/>
      <c r="L139" s="26"/>
    </row>
    <row r="140" spans="1:12" x14ac:dyDescent="0.25">
      <c r="A140" s="26"/>
      <c r="B140" s="25" t="str">
        <f>IF($A140="","",IFERROR(INDEX('Inventario General'!$C$5:$C$304,MATCH($A140,'Inventario General'!$A$5:$A$304,0))&amp;"","No está en el inventario"))</f>
        <v/>
      </c>
      <c r="C140" s="25" t="str">
        <f>IF($A140="","",IFERROR(INDEX('Inventario General'!$D$5:$D$304,MATCH($A140,'Inventario General'!$A$5:$A$304,0))&amp;"","No está en el inventario"))</f>
        <v/>
      </c>
      <c r="D140" s="25" t="str">
        <f>IF($A140="","",IFERROR(INDEX('Inventario General'!$I$5:$I$304,MATCH($A140,'Inventario General'!$A$5:$A$304,0))&amp;"","No está en el inventario"))</f>
        <v/>
      </c>
      <c r="E140" s="26"/>
      <c r="F140" s="26"/>
      <c r="G140" s="26"/>
      <c r="H140" s="26"/>
      <c r="I140" s="26"/>
      <c r="J140" s="44"/>
      <c r="K140" s="26"/>
      <c r="L140" s="26"/>
    </row>
    <row r="141" spans="1:12" x14ac:dyDescent="0.25">
      <c r="A141" s="26"/>
      <c r="B141" s="25" t="str">
        <f>IF($A141="","",IFERROR(INDEX('Inventario General'!$C$5:$C$304,MATCH($A141,'Inventario General'!$A$5:$A$304,0))&amp;"","No está en el inventario"))</f>
        <v/>
      </c>
      <c r="C141" s="25" t="str">
        <f>IF($A141="","",IFERROR(INDEX('Inventario General'!$D$5:$D$304,MATCH($A141,'Inventario General'!$A$5:$A$304,0))&amp;"","No está en el inventario"))</f>
        <v/>
      </c>
      <c r="D141" s="25" t="str">
        <f>IF($A141="","",IFERROR(INDEX('Inventario General'!$I$5:$I$304,MATCH($A141,'Inventario General'!$A$5:$A$304,0))&amp;"","No está en el inventario"))</f>
        <v/>
      </c>
      <c r="E141" s="26"/>
      <c r="F141" s="26"/>
      <c r="G141" s="26"/>
      <c r="H141" s="26"/>
      <c r="I141" s="26"/>
      <c r="J141" s="44"/>
      <c r="K141" s="26"/>
      <c r="L141" s="26"/>
    </row>
    <row r="142" spans="1:12" x14ac:dyDescent="0.25">
      <c r="A142" s="26"/>
      <c r="B142" s="25" t="str">
        <f>IF($A142="","",IFERROR(INDEX('Inventario General'!$C$5:$C$304,MATCH($A142,'Inventario General'!$A$5:$A$304,0))&amp;"","No está en el inventario"))</f>
        <v/>
      </c>
      <c r="C142" s="25" t="str">
        <f>IF($A142="","",IFERROR(INDEX('Inventario General'!$D$5:$D$304,MATCH($A142,'Inventario General'!$A$5:$A$304,0))&amp;"","No está en el inventario"))</f>
        <v/>
      </c>
      <c r="D142" s="25" t="str">
        <f>IF($A142="","",IFERROR(INDEX('Inventario General'!$I$5:$I$304,MATCH($A142,'Inventario General'!$A$5:$A$304,0))&amp;"","No está en el inventario"))</f>
        <v/>
      </c>
      <c r="E142" s="26"/>
      <c r="F142" s="26"/>
      <c r="G142" s="26"/>
      <c r="H142" s="26"/>
      <c r="I142" s="26"/>
      <c r="J142" s="44"/>
      <c r="K142" s="26"/>
      <c r="L142" s="26"/>
    </row>
    <row r="143" spans="1:12" x14ac:dyDescent="0.25">
      <c r="A143" s="26"/>
      <c r="B143" s="25" t="str">
        <f>IF($A143="","",IFERROR(INDEX('Inventario General'!$C$5:$C$304,MATCH($A143,'Inventario General'!$A$5:$A$304,0))&amp;"","No está en el inventario"))</f>
        <v/>
      </c>
      <c r="C143" s="25" t="str">
        <f>IF($A143="","",IFERROR(INDEX('Inventario General'!$D$5:$D$304,MATCH($A143,'Inventario General'!$A$5:$A$304,0))&amp;"","No está en el inventario"))</f>
        <v/>
      </c>
      <c r="D143" s="25" t="str">
        <f>IF($A143="","",IFERROR(INDEX('Inventario General'!$I$5:$I$304,MATCH($A143,'Inventario General'!$A$5:$A$304,0))&amp;"","No está en el inventario"))</f>
        <v/>
      </c>
      <c r="E143" s="26"/>
      <c r="F143" s="26"/>
      <c r="G143" s="26"/>
      <c r="H143" s="26"/>
      <c r="I143" s="26"/>
      <c r="J143" s="44"/>
      <c r="K143" s="26"/>
      <c r="L143" s="26"/>
    </row>
    <row r="144" spans="1:12" x14ac:dyDescent="0.25">
      <c r="A144" s="26"/>
      <c r="B144" s="25" t="str">
        <f>IF($A144="","",IFERROR(INDEX('Inventario General'!$C$5:$C$304,MATCH($A144,'Inventario General'!$A$5:$A$304,0))&amp;"","No está en el inventario"))</f>
        <v/>
      </c>
      <c r="C144" s="25" t="str">
        <f>IF($A144="","",IFERROR(INDEX('Inventario General'!$D$5:$D$304,MATCH($A144,'Inventario General'!$A$5:$A$304,0))&amp;"","No está en el inventario"))</f>
        <v/>
      </c>
      <c r="D144" s="25" t="str">
        <f>IF($A144="","",IFERROR(INDEX('Inventario General'!$I$5:$I$304,MATCH($A144,'Inventario General'!$A$5:$A$304,0))&amp;"","No está en el inventario"))</f>
        <v/>
      </c>
      <c r="E144" s="26"/>
      <c r="F144" s="26"/>
      <c r="G144" s="26"/>
      <c r="H144" s="26"/>
      <c r="I144" s="26"/>
      <c r="J144" s="44"/>
      <c r="K144" s="26"/>
      <c r="L144" s="26"/>
    </row>
    <row r="145" spans="1:12" x14ac:dyDescent="0.25">
      <c r="A145" s="26"/>
      <c r="B145" s="25" t="str">
        <f>IF($A145="","",IFERROR(INDEX('Inventario General'!$C$5:$C$304,MATCH($A145,'Inventario General'!$A$5:$A$304,0))&amp;"","No está en el inventario"))</f>
        <v/>
      </c>
      <c r="C145" s="25" t="str">
        <f>IF($A145="","",IFERROR(INDEX('Inventario General'!$D$5:$D$304,MATCH($A145,'Inventario General'!$A$5:$A$304,0))&amp;"","No está en el inventario"))</f>
        <v/>
      </c>
      <c r="D145" s="25" t="str">
        <f>IF($A145="","",IFERROR(INDEX('Inventario General'!$I$5:$I$304,MATCH($A145,'Inventario General'!$A$5:$A$304,0))&amp;"","No está en el inventario"))</f>
        <v/>
      </c>
      <c r="E145" s="26"/>
      <c r="F145" s="26"/>
      <c r="G145" s="26"/>
      <c r="H145" s="26"/>
      <c r="I145" s="26"/>
      <c r="J145" s="44"/>
      <c r="K145" s="26"/>
      <c r="L145" s="26"/>
    </row>
    <row r="146" spans="1:12" x14ac:dyDescent="0.25">
      <c r="A146" s="26"/>
      <c r="B146" s="25" t="str">
        <f>IF($A146="","",IFERROR(INDEX('Inventario General'!$C$5:$C$304,MATCH($A146,'Inventario General'!$A$5:$A$304,0))&amp;"","No está en el inventario"))</f>
        <v/>
      </c>
      <c r="C146" s="25" t="str">
        <f>IF($A146="","",IFERROR(INDEX('Inventario General'!$D$5:$D$304,MATCH($A146,'Inventario General'!$A$5:$A$304,0))&amp;"","No está en el inventario"))</f>
        <v/>
      </c>
      <c r="D146" s="25" t="str">
        <f>IF($A146="","",IFERROR(INDEX('Inventario General'!$I$5:$I$304,MATCH($A146,'Inventario General'!$A$5:$A$304,0))&amp;"","No está en el inventario"))</f>
        <v/>
      </c>
      <c r="E146" s="26"/>
      <c r="F146" s="26"/>
      <c r="G146" s="26"/>
      <c r="H146" s="26"/>
      <c r="I146" s="26"/>
      <c r="J146" s="44"/>
      <c r="K146" s="26"/>
      <c r="L146" s="26"/>
    </row>
    <row r="147" spans="1:12" x14ac:dyDescent="0.25">
      <c r="A147" s="26"/>
      <c r="B147" s="25" t="str">
        <f>IF($A147="","",IFERROR(INDEX('Inventario General'!$C$5:$C$304,MATCH($A147,'Inventario General'!$A$5:$A$304,0))&amp;"","No está en el inventario"))</f>
        <v/>
      </c>
      <c r="C147" s="25" t="str">
        <f>IF($A147="","",IFERROR(INDEX('Inventario General'!$D$5:$D$304,MATCH($A147,'Inventario General'!$A$5:$A$304,0))&amp;"","No está en el inventario"))</f>
        <v/>
      </c>
      <c r="D147" s="25" t="str">
        <f>IF($A147="","",IFERROR(INDEX('Inventario General'!$I$5:$I$304,MATCH($A147,'Inventario General'!$A$5:$A$304,0))&amp;"","No está en el inventario"))</f>
        <v/>
      </c>
      <c r="E147" s="26"/>
      <c r="F147" s="26"/>
      <c r="G147" s="26"/>
      <c r="H147" s="26"/>
      <c r="I147" s="26"/>
      <c r="J147" s="44"/>
      <c r="K147" s="26"/>
      <c r="L147" s="26"/>
    </row>
    <row r="148" spans="1:12" x14ac:dyDescent="0.25">
      <c r="A148" s="26"/>
      <c r="B148" s="25" t="str">
        <f>IF($A148="","",IFERROR(INDEX('Inventario General'!$C$5:$C$304,MATCH($A148,'Inventario General'!$A$5:$A$304,0))&amp;"","No está en el inventario"))</f>
        <v/>
      </c>
      <c r="C148" s="25" t="str">
        <f>IF($A148="","",IFERROR(INDEX('Inventario General'!$D$5:$D$304,MATCH($A148,'Inventario General'!$A$5:$A$304,0))&amp;"","No está en el inventario"))</f>
        <v/>
      </c>
      <c r="D148" s="25" t="str">
        <f>IF($A148="","",IFERROR(INDEX('Inventario General'!$I$5:$I$304,MATCH($A148,'Inventario General'!$A$5:$A$304,0))&amp;"","No está en el inventario"))</f>
        <v/>
      </c>
      <c r="E148" s="26"/>
      <c r="F148" s="26"/>
      <c r="G148" s="26"/>
      <c r="H148" s="26"/>
      <c r="I148" s="26"/>
      <c r="J148" s="44"/>
      <c r="K148" s="26"/>
      <c r="L148" s="26"/>
    </row>
    <row r="149" spans="1:12" x14ac:dyDescent="0.25">
      <c r="A149" s="26"/>
      <c r="B149" s="25" t="str">
        <f>IF($A149="","",IFERROR(INDEX('Inventario General'!$C$5:$C$304,MATCH($A149,'Inventario General'!$A$5:$A$304,0))&amp;"","No está en el inventario"))</f>
        <v/>
      </c>
      <c r="C149" s="25" t="str">
        <f>IF($A149="","",IFERROR(INDEX('Inventario General'!$D$5:$D$304,MATCH($A149,'Inventario General'!$A$5:$A$304,0))&amp;"","No está en el inventario"))</f>
        <v/>
      </c>
      <c r="D149" s="25" t="str">
        <f>IF($A149="","",IFERROR(INDEX('Inventario General'!$I$5:$I$304,MATCH($A149,'Inventario General'!$A$5:$A$304,0))&amp;"","No está en el inventario"))</f>
        <v/>
      </c>
      <c r="E149" s="26"/>
      <c r="F149" s="26"/>
      <c r="G149" s="26"/>
      <c r="H149" s="26"/>
      <c r="I149" s="26"/>
      <c r="J149" s="44"/>
      <c r="K149" s="26"/>
      <c r="L149" s="26"/>
    </row>
    <row r="150" spans="1:12" x14ac:dyDescent="0.25">
      <c r="A150" s="26"/>
      <c r="B150" s="25" t="str">
        <f>IF($A150="","",IFERROR(INDEX('Inventario General'!$C$5:$C$304,MATCH($A150,'Inventario General'!$A$5:$A$304,0))&amp;"","No está en el inventario"))</f>
        <v/>
      </c>
      <c r="C150" s="25" t="str">
        <f>IF($A150="","",IFERROR(INDEX('Inventario General'!$D$5:$D$304,MATCH($A150,'Inventario General'!$A$5:$A$304,0))&amp;"","No está en el inventario"))</f>
        <v/>
      </c>
      <c r="D150" s="25" t="str">
        <f>IF($A150="","",IFERROR(INDEX('Inventario General'!$I$5:$I$304,MATCH($A150,'Inventario General'!$A$5:$A$304,0))&amp;"","No está en el inventario"))</f>
        <v/>
      </c>
      <c r="E150" s="26"/>
      <c r="F150" s="26"/>
      <c r="G150" s="26"/>
      <c r="H150" s="26"/>
      <c r="I150" s="26"/>
      <c r="J150" s="44"/>
      <c r="K150" s="26"/>
      <c r="L150" s="26"/>
    </row>
    <row r="151" spans="1:12" x14ac:dyDescent="0.25">
      <c r="A151" s="26"/>
      <c r="B151" s="25" t="str">
        <f>IF($A151="","",IFERROR(INDEX('Inventario General'!$C$5:$C$304,MATCH($A151,'Inventario General'!$A$5:$A$304,0))&amp;"","No está en el inventario"))</f>
        <v/>
      </c>
      <c r="C151" s="25" t="str">
        <f>IF($A151="","",IFERROR(INDEX('Inventario General'!$D$5:$D$304,MATCH($A151,'Inventario General'!$A$5:$A$304,0))&amp;"","No está en el inventario"))</f>
        <v/>
      </c>
      <c r="D151" s="25" t="str">
        <f>IF($A151="","",IFERROR(INDEX('Inventario General'!$I$5:$I$304,MATCH($A151,'Inventario General'!$A$5:$A$304,0))&amp;"","No está en el inventario"))</f>
        <v/>
      </c>
      <c r="E151" s="26"/>
      <c r="F151" s="26"/>
      <c r="G151" s="26"/>
      <c r="H151" s="26"/>
      <c r="I151" s="26"/>
      <c r="J151" s="44"/>
      <c r="K151" s="26"/>
      <c r="L151" s="26"/>
    </row>
    <row r="152" spans="1:12" x14ac:dyDescent="0.25">
      <c r="A152" s="26"/>
      <c r="B152" s="25" t="str">
        <f>IF($A152="","",IFERROR(INDEX('Inventario General'!$C$5:$C$304,MATCH($A152,'Inventario General'!$A$5:$A$304,0))&amp;"","No está en el inventario"))</f>
        <v/>
      </c>
      <c r="C152" s="25" t="str">
        <f>IF($A152="","",IFERROR(INDEX('Inventario General'!$D$5:$D$304,MATCH($A152,'Inventario General'!$A$5:$A$304,0))&amp;"","No está en el inventario"))</f>
        <v/>
      </c>
      <c r="D152" s="25" t="str">
        <f>IF($A152="","",IFERROR(INDEX('Inventario General'!$I$5:$I$304,MATCH($A152,'Inventario General'!$A$5:$A$304,0))&amp;"","No está en el inventario"))</f>
        <v/>
      </c>
      <c r="E152" s="26"/>
      <c r="F152" s="26"/>
      <c r="G152" s="26"/>
      <c r="H152" s="26"/>
      <c r="I152" s="26"/>
      <c r="J152" s="44"/>
      <c r="K152" s="26"/>
      <c r="L152" s="26"/>
    </row>
    <row r="153" spans="1:12" x14ac:dyDescent="0.25">
      <c r="A153" s="26"/>
      <c r="B153" s="25" t="str">
        <f>IF($A153="","",IFERROR(INDEX('Inventario General'!$C$5:$C$304,MATCH($A153,'Inventario General'!$A$5:$A$304,0))&amp;"","No está en el inventario"))</f>
        <v/>
      </c>
      <c r="C153" s="25" t="str">
        <f>IF($A153="","",IFERROR(INDEX('Inventario General'!$D$5:$D$304,MATCH($A153,'Inventario General'!$A$5:$A$304,0))&amp;"","No está en el inventario"))</f>
        <v/>
      </c>
      <c r="D153" s="25" t="str">
        <f>IF($A153="","",IFERROR(INDEX('Inventario General'!$I$5:$I$304,MATCH($A153,'Inventario General'!$A$5:$A$304,0))&amp;"","No está en el inventario"))</f>
        <v/>
      </c>
      <c r="E153" s="26"/>
      <c r="F153" s="26"/>
      <c r="G153" s="26"/>
      <c r="H153" s="26"/>
      <c r="I153" s="26"/>
      <c r="J153" s="44"/>
      <c r="K153" s="26"/>
      <c r="L153" s="26"/>
    </row>
    <row r="154" spans="1:12" x14ac:dyDescent="0.25">
      <c r="A154" s="26"/>
      <c r="B154" s="25" t="str">
        <f>IF($A154="","",IFERROR(INDEX('Inventario General'!$C$5:$C$304,MATCH($A154,'Inventario General'!$A$5:$A$304,0))&amp;"","No está en el inventario"))</f>
        <v/>
      </c>
      <c r="C154" s="25" t="str">
        <f>IF($A154="","",IFERROR(INDEX('Inventario General'!$D$5:$D$304,MATCH($A154,'Inventario General'!$A$5:$A$304,0))&amp;"","No está en el inventario"))</f>
        <v/>
      </c>
      <c r="D154" s="25" t="str">
        <f>IF($A154="","",IFERROR(INDEX('Inventario General'!$I$5:$I$304,MATCH($A154,'Inventario General'!$A$5:$A$304,0))&amp;"","No está en el inventario"))</f>
        <v/>
      </c>
      <c r="E154" s="26"/>
      <c r="F154" s="26"/>
      <c r="G154" s="26"/>
      <c r="H154" s="26"/>
      <c r="I154" s="26"/>
      <c r="J154" s="44"/>
      <c r="K154" s="26"/>
      <c r="L154" s="26"/>
    </row>
    <row r="155" spans="1:12" x14ac:dyDescent="0.25">
      <c r="A155" s="26"/>
      <c r="B155" s="25" t="str">
        <f>IF($A155="","",IFERROR(INDEX('Inventario General'!$C$5:$C$304,MATCH($A155,'Inventario General'!$A$5:$A$304,0))&amp;"","No está en el inventario"))</f>
        <v/>
      </c>
      <c r="C155" s="25" t="str">
        <f>IF($A155="","",IFERROR(INDEX('Inventario General'!$D$5:$D$304,MATCH($A155,'Inventario General'!$A$5:$A$304,0))&amp;"","No está en el inventario"))</f>
        <v/>
      </c>
      <c r="D155" s="25" t="str">
        <f>IF($A155="","",IFERROR(INDEX('Inventario General'!$I$5:$I$304,MATCH($A155,'Inventario General'!$A$5:$A$304,0))&amp;"","No está en el inventario"))</f>
        <v/>
      </c>
      <c r="E155" s="26"/>
      <c r="F155" s="26"/>
      <c r="G155" s="26"/>
      <c r="H155" s="26"/>
      <c r="I155" s="26"/>
      <c r="J155" s="44"/>
      <c r="K155" s="26"/>
      <c r="L155" s="26"/>
    </row>
    <row r="156" spans="1:12" x14ac:dyDescent="0.25">
      <c r="A156" s="26"/>
      <c r="B156" s="25" t="str">
        <f>IF($A156="","",IFERROR(INDEX('Inventario General'!$C$5:$C$304,MATCH($A156,'Inventario General'!$A$5:$A$304,0))&amp;"","No está en el inventario"))</f>
        <v/>
      </c>
      <c r="C156" s="25" t="str">
        <f>IF($A156="","",IFERROR(INDEX('Inventario General'!$D$5:$D$304,MATCH($A156,'Inventario General'!$A$5:$A$304,0))&amp;"","No está en el inventario"))</f>
        <v/>
      </c>
      <c r="D156" s="25" t="str">
        <f>IF($A156="","",IFERROR(INDEX('Inventario General'!$I$5:$I$304,MATCH($A156,'Inventario General'!$A$5:$A$304,0))&amp;"","No está en el inventario"))</f>
        <v/>
      </c>
      <c r="E156" s="26"/>
      <c r="F156" s="26"/>
      <c r="G156" s="26"/>
      <c r="H156" s="26"/>
      <c r="I156" s="26"/>
      <c r="J156" s="44"/>
      <c r="K156" s="26"/>
      <c r="L156" s="26"/>
    </row>
    <row r="157" spans="1:12" x14ac:dyDescent="0.25">
      <c r="A157" s="26"/>
      <c r="B157" s="25" t="str">
        <f>IF($A157="","",IFERROR(INDEX('Inventario General'!$C$5:$C$304,MATCH($A157,'Inventario General'!$A$5:$A$304,0))&amp;"","No está en el inventario"))</f>
        <v/>
      </c>
      <c r="C157" s="25" t="str">
        <f>IF($A157="","",IFERROR(INDEX('Inventario General'!$D$5:$D$304,MATCH($A157,'Inventario General'!$A$5:$A$304,0))&amp;"","No está en el inventario"))</f>
        <v/>
      </c>
      <c r="D157" s="25" t="str">
        <f>IF($A157="","",IFERROR(INDEX('Inventario General'!$I$5:$I$304,MATCH($A157,'Inventario General'!$A$5:$A$304,0))&amp;"","No está en el inventario"))</f>
        <v/>
      </c>
      <c r="E157" s="26"/>
      <c r="F157" s="26"/>
      <c r="G157" s="26"/>
      <c r="H157" s="26"/>
      <c r="I157" s="26"/>
      <c r="J157" s="44"/>
      <c r="K157" s="26"/>
      <c r="L157" s="26"/>
    </row>
    <row r="158" spans="1:12" x14ac:dyDescent="0.25">
      <c r="A158" s="26"/>
      <c r="B158" s="25" t="str">
        <f>IF($A158="","",IFERROR(INDEX('Inventario General'!$C$5:$C$304,MATCH($A158,'Inventario General'!$A$5:$A$304,0))&amp;"","No está en el inventario"))</f>
        <v/>
      </c>
      <c r="C158" s="25" t="str">
        <f>IF($A158="","",IFERROR(INDEX('Inventario General'!$D$5:$D$304,MATCH($A158,'Inventario General'!$A$5:$A$304,0))&amp;"","No está en el inventario"))</f>
        <v/>
      </c>
      <c r="D158" s="25" t="str">
        <f>IF($A158="","",IFERROR(INDEX('Inventario General'!$I$5:$I$304,MATCH($A158,'Inventario General'!$A$5:$A$304,0))&amp;"","No está en el inventario"))</f>
        <v/>
      </c>
      <c r="E158" s="26"/>
      <c r="F158" s="26"/>
      <c r="G158" s="26"/>
      <c r="H158" s="26"/>
      <c r="I158" s="26"/>
      <c r="J158" s="44"/>
      <c r="K158" s="26"/>
      <c r="L158" s="26"/>
    </row>
    <row r="159" spans="1:12" x14ac:dyDescent="0.25">
      <c r="A159" s="26"/>
      <c r="B159" s="25" t="str">
        <f>IF($A159="","",IFERROR(INDEX('Inventario General'!$C$5:$C$304,MATCH($A159,'Inventario General'!$A$5:$A$304,0))&amp;"","No está en el inventario"))</f>
        <v/>
      </c>
      <c r="C159" s="25" t="str">
        <f>IF($A159="","",IFERROR(INDEX('Inventario General'!$D$5:$D$304,MATCH($A159,'Inventario General'!$A$5:$A$304,0))&amp;"","No está en el inventario"))</f>
        <v/>
      </c>
      <c r="D159" s="25" t="str">
        <f>IF($A159="","",IFERROR(INDEX('Inventario General'!$I$5:$I$304,MATCH($A159,'Inventario General'!$A$5:$A$304,0))&amp;"","No está en el inventario"))</f>
        <v/>
      </c>
      <c r="E159" s="26"/>
      <c r="F159" s="26"/>
      <c r="G159" s="26"/>
      <c r="H159" s="26"/>
      <c r="I159" s="26"/>
      <c r="J159" s="44"/>
      <c r="K159" s="26"/>
      <c r="L159" s="26"/>
    </row>
    <row r="160" spans="1:12" x14ac:dyDescent="0.25">
      <c r="A160" s="26"/>
      <c r="B160" s="25" t="str">
        <f>IF($A160="","",IFERROR(INDEX('Inventario General'!$C$5:$C$304,MATCH($A160,'Inventario General'!$A$5:$A$304,0))&amp;"","No está en el inventario"))</f>
        <v/>
      </c>
      <c r="C160" s="25" t="str">
        <f>IF($A160="","",IFERROR(INDEX('Inventario General'!$D$5:$D$304,MATCH($A160,'Inventario General'!$A$5:$A$304,0))&amp;"","No está en el inventario"))</f>
        <v/>
      </c>
      <c r="D160" s="25" t="str">
        <f>IF($A160="","",IFERROR(INDEX('Inventario General'!$I$5:$I$304,MATCH($A160,'Inventario General'!$A$5:$A$304,0))&amp;"","No está en el inventario"))</f>
        <v/>
      </c>
      <c r="E160" s="26"/>
      <c r="F160" s="26"/>
      <c r="G160" s="26"/>
      <c r="H160" s="26"/>
      <c r="I160" s="26"/>
      <c r="J160" s="44"/>
      <c r="K160" s="26"/>
      <c r="L160" s="26"/>
    </row>
    <row r="161" spans="1:12" x14ac:dyDescent="0.25">
      <c r="A161" s="26"/>
      <c r="B161" s="25" t="str">
        <f>IF($A161="","",IFERROR(INDEX('Inventario General'!$C$5:$C$304,MATCH($A161,'Inventario General'!$A$5:$A$304,0))&amp;"","No está en el inventario"))</f>
        <v/>
      </c>
      <c r="C161" s="25" t="str">
        <f>IF($A161="","",IFERROR(INDEX('Inventario General'!$D$5:$D$304,MATCH($A161,'Inventario General'!$A$5:$A$304,0))&amp;"","No está en el inventario"))</f>
        <v/>
      </c>
      <c r="D161" s="25" t="str">
        <f>IF($A161="","",IFERROR(INDEX('Inventario General'!$I$5:$I$304,MATCH($A161,'Inventario General'!$A$5:$A$304,0))&amp;"","No está en el inventario"))</f>
        <v/>
      </c>
      <c r="E161" s="26"/>
      <c r="F161" s="26"/>
      <c r="G161" s="26"/>
      <c r="H161" s="26"/>
      <c r="I161" s="26"/>
      <c r="J161" s="44"/>
      <c r="K161" s="26"/>
      <c r="L161" s="26"/>
    </row>
    <row r="162" spans="1:12" x14ac:dyDescent="0.25">
      <c r="A162" s="26"/>
      <c r="B162" s="25" t="str">
        <f>IF($A162="","",IFERROR(INDEX('Inventario General'!$C$5:$C$304,MATCH($A162,'Inventario General'!$A$5:$A$304,0))&amp;"","No está en el inventario"))</f>
        <v/>
      </c>
      <c r="C162" s="25" t="str">
        <f>IF($A162="","",IFERROR(INDEX('Inventario General'!$D$5:$D$304,MATCH($A162,'Inventario General'!$A$5:$A$304,0))&amp;"","No está en el inventario"))</f>
        <v/>
      </c>
      <c r="D162" s="25" t="str">
        <f>IF($A162="","",IFERROR(INDEX('Inventario General'!$I$5:$I$304,MATCH($A162,'Inventario General'!$A$5:$A$304,0))&amp;"","No está en el inventario"))</f>
        <v/>
      </c>
      <c r="E162" s="26"/>
      <c r="F162" s="26"/>
      <c r="G162" s="26"/>
      <c r="H162" s="26"/>
      <c r="I162" s="26"/>
      <c r="J162" s="44"/>
      <c r="K162" s="26"/>
      <c r="L162" s="26"/>
    </row>
    <row r="163" spans="1:12" x14ac:dyDescent="0.25">
      <c r="A163" s="26"/>
      <c r="B163" s="25" t="str">
        <f>IF($A163="","",IFERROR(INDEX('Inventario General'!$C$5:$C$304,MATCH($A163,'Inventario General'!$A$5:$A$304,0))&amp;"","No está en el inventario"))</f>
        <v/>
      </c>
      <c r="C163" s="25" t="str">
        <f>IF($A163="","",IFERROR(INDEX('Inventario General'!$D$5:$D$304,MATCH($A163,'Inventario General'!$A$5:$A$304,0))&amp;"","No está en el inventario"))</f>
        <v/>
      </c>
      <c r="D163" s="25" t="str">
        <f>IF($A163="","",IFERROR(INDEX('Inventario General'!$I$5:$I$304,MATCH($A163,'Inventario General'!$A$5:$A$304,0))&amp;"","No está en el inventario"))</f>
        <v/>
      </c>
      <c r="E163" s="26"/>
      <c r="F163" s="26"/>
      <c r="G163" s="26"/>
      <c r="H163" s="26"/>
      <c r="I163" s="26"/>
      <c r="J163" s="44"/>
      <c r="K163" s="26"/>
      <c r="L163" s="26"/>
    </row>
    <row r="164" spans="1:12" x14ac:dyDescent="0.25">
      <c r="A164" s="26"/>
      <c r="B164" s="25" t="str">
        <f>IF($A164="","",IFERROR(INDEX('Inventario General'!$C$5:$C$304,MATCH($A164,'Inventario General'!$A$5:$A$304,0))&amp;"","No está en el inventario"))</f>
        <v/>
      </c>
      <c r="C164" s="25" t="str">
        <f>IF($A164="","",IFERROR(INDEX('Inventario General'!$D$5:$D$304,MATCH($A164,'Inventario General'!$A$5:$A$304,0))&amp;"","No está en el inventario"))</f>
        <v/>
      </c>
      <c r="D164" s="25" t="str">
        <f>IF($A164="","",IFERROR(INDEX('Inventario General'!$I$5:$I$304,MATCH($A164,'Inventario General'!$A$5:$A$304,0))&amp;"","No está en el inventario"))</f>
        <v/>
      </c>
      <c r="E164" s="26"/>
      <c r="F164" s="26"/>
      <c r="G164" s="26"/>
      <c r="H164" s="26"/>
      <c r="I164" s="26"/>
      <c r="J164" s="44"/>
      <c r="K164" s="26"/>
      <c r="L164" s="26"/>
    </row>
    <row r="165" spans="1:12" x14ac:dyDescent="0.25">
      <c r="A165" s="26"/>
      <c r="B165" s="25" t="str">
        <f>IF($A165="","",IFERROR(INDEX('Inventario General'!$C$5:$C$304,MATCH($A165,'Inventario General'!$A$5:$A$304,0))&amp;"","No está en el inventario"))</f>
        <v/>
      </c>
      <c r="C165" s="25" t="str">
        <f>IF($A165="","",IFERROR(INDEX('Inventario General'!$D$5:$D$304,MATCH($A165,'Inventario General'!$A$5:$A$304,0))&amp;"","No está en el inventario"))</f>
        <v/>
      </c>
      <c r="D165" s="25" t="str">
        <f>IF($A165="","",IFERROR(INDEX('Inventario General'!$I$5:$I$304,MATCH($A165,'Inventario General'!$A$5:$A$304,0))&amp;"","No está en el inventario"))</f>
        <v/>
      </c>
      <c r="E165" s="26"/>
      <c r="F165" s="26"/>
      <c r="G165" s="26"/>
      <c r="H165" s="26"/>
      <c r="I165" s="26"/>
      <c r="J165" s="44"/>
      <c r="K165" s="26"/>
      <c r="L165" s="26"/>
    </row>
    <row r="166" spans="1:12" x14ac:dyDescent="0.25">
      <c r="A166" s="26"/>
      <c r="B166" s="25" t="str">
        <f>IF($A166="","",IFERROR(INDEX('Inventario General'!$C$5:$C$304,MATCH($A166,'Inventario General'!$A$5:$A$304,0))&amp;"","No está en el inventario"))</f>
        <v/>
      </c>
      <c r="C166" s="25" t="str">
        <f>IF($A166="","",IFERROR(INDEX('Inventario General'!$D$5:$D$304,MATCH($A166,'Inventario General'!$A$5:$A$304,0))&amp;"","No está en el inventario"))</f>
        <v/>
      </c>
      <c r="D166" s="25" t="str">
        <f>IF($A166="","",IFERROR(INDEX('Inventario General'!$I$5:$I$304,MATCH($A166,'Inventario General'!$A$5:$A$304,0))&amp;"","No está en el inventario"))</f>
        <v/>
      </c>
      <c r="E166" s="26"/>
      <c r="F166" s="26"/>
      <c r="G166" s="26"/>
      <c r="H166" s="26"/>
      <c r="I166" s="26"/>
      <c r="J166" s="44"/>
      <c r="K166" s="26"/>
      <c r="L166" s="26"/>
    </row>
    <row r="167" spans="1:12" x14ac:dyDescent="0.25">
      <c r="A167" s="26"/>
      <c r="B167" s="25" t="str">
        <f>IF($A167="","",IFERROR(INDEX('Inventario General'!$C$5:$C$304,MATCH($A167,'Inventario General'!$A$5:$A$304,0))&amp;"","No está en el inventario"))</f>
        <v/>
      </c>
      <c r="C167" s="25" t="str">
        <f>IF($A167="","",IFERROR(INDEX('Inventario General'!$D$5:$D$304,MATCH($A167,'Inventario General'!$A$5:$A$304,0))&amp;"","No está en el inventario"))</f>
        <v/>
      </c>
      <c r="D167" s="25" t="str">
        <f>IF($A167="","",IFERROR(INDEX('Inventario General'!$I$5:$I$304,MATCH($A167,'Inventario General'!$A$5:$A$304,0))&amp;"","No está en el inventario"))</f>
        <v/>
      </c>
      <c r="E167" s="26"/>
      <c r="F167" s="26"/>
      <c r="G167" s="26"/>
      <c r="H167" s="26"/>
      <c r="I167" s="26"/>
      <c r="J167" s="44"/>
      <c r="K167" s="26"/>
      <c r="L167" s="26"/>
    </row>
    <row r="168" spans="1:12" x14ac:dyDescent="0.25">
      <c r="A168" s="26"/>
      <c r="B168" s="25" t="str">
        <f>IF($A168="","",IFERROR(INDEX('Inventario General'!$C$5:$C$304,MATCH($A168,'Inventario General'!$A$5:$A$304,0))&amp;"","No está en el inventario"))</f>
        <v/>
      </c>
      <c r="C168" s="25" t="str">
        <f>IF($A168="","",IFERROR(INDEX('Inventario General'!$D$5:$D$304,MATCH($A168,'Inventario General'!$A$5:$A$304,0))&amp;"","No está en el inventario"))</f>
        <v/>
      </c>
      <c r="D168" s="25" t="str">
        <f>IF($A168="","",IFERROR(INDEX('Inventario General'!$I$5:$I$304,MATCH($A168,'Inventario General'!$A$5:$A$304,0))&amp;"","No está en el inventario"))</f>
        <v/>
      </c>
      <c r="E168" s="26"/>
      <c r="F168" s="26"/>
      <c r="G168" s="26"/>
      <c r="H168" s="26"/>
      <c r="I168" s="26"/>
      <c r="J168" s="44"/>
      <c r="K168" s="26"/>
      <c r="L168" s="26"/>
    </row>
    <row r="169" spans="1:12" x14ac:dyDescent="0.25">
      <c r="A169" s="26"/>
      <c r="B169" s="25" t="str">
        <f>IF($A169="","",IFERROR(INDEX('Inventario General'!$C$5:$C$304,MATCH($A169,'Inventario General'!$A$5:$A$304,0))&amp;"","No está en el inventario"))</f>
        <v/>
      </c>
      <c r="C169" s="25" t="str">
        <f>IF($A169="","",IFERROR(INDEX('Inventario General'!$D$5:$D$304,MATCH($A169,'Inventario General'!$A$5:$A$304,0))&amp;"","No está en el inventario"))</f>
        <v/>
      </c>
      <c r="D169" s="25" t="str">
        <f>IF($A169="","",IFERROR(INDEX('Inventario General'!$I$5:$I$304,MATCH($A169,'Inventario General'!$A$5:$A$304,0))&amp;"","No está en el inventario"))</f>
        <v/>
      </c>
      <c r="E169" s="26"/>
      <c r="F169" s="26"/>
      <c r="G169" s="26"/>
      <c r="H169" s="26"/>
      <c r="I169" s="26"/>
      <c r="J169" s="44"/>
      <c r="K169" s="26"/>
      <c r="L169" s="26"/>
    </row>
    <row r="170" spans="1:12" x14ac:dyDescent="0.25">
      <c r="A170" s="26"/>
      <c r="B170" s="25" t="str">
        <f>IF($A170="","",IFERROR(INDEX('Inventario General'!$C$5:$C$304,MATCH($A170,'Inventario General'!$A$5:$A$304,0))&amp;"","No está en el inventario"))</f>
        <v/>
      </c>
      <c r="C170" s="25" t="str">
        <f>IF($A170="","",IFERROR(INDEX('Inventario General'!$D$5:$D$304,MATCH($A170,'Inventario General'!$A$5:$A$304,0))&amp;"","No está en el inventario"))</f>
        <v/>
      </c>
      <c r="D170" s="25" t="str">
        <f>IF($A170="","",IFERROR(INDEX('Inventario General'!$I$5:$I$304,MATCH($A170,'Inventario General'!$A$5:$A$304,0))&amp;"","No está en el inventario"))</f>
        <v/>
      </c>
      <c r="E170" s="26"/>
      <c r="F170" s="26"/>
      <c r="G170" s="26"/>
      <c r="H170" s="26"/>
      <c r="I170" s="26"/>
      <c r="J170" s="44"/>
      <c r="K170" s="26"/>
      <c r="L170" s="26"/>
    </row>
    <row r="171" spans="1:12" x14ac:dyDescent="0.25">
      <c r="A171" s="26"/>
      <c r="B171" s="25" t="str">
        <f>IF($A171="","",IFERROR(INDEX('Inventario General'!$C$5:$C$304,MATCH($A171,'Inventario General'!$A$5:$A$304,0))&amp;"","No está en el inventario"))</f>
        <v/>
      </c>
      <c r="C171" s="25" t="str">
        <f>IF($A171="","",IFERROR(INDEX('Inventario General'!$D$5:$D$304,MATCH($A171,'Inventario General'!$A$5:$A$304,0))&amp;"","No está en el inventario"))</f>
        <v/>
      </c>
      <c r="D171" s="25" t="str">
        <f>IF($A171="","",IFERROR(INDEX('Inventario General'!$I$5:$I$304,MATCH($A171,'Inventario General'!$A$5:$A$304,0))&amp;"","No está en el inventario"))</f>
        <v/>
      </c>
      <c r="E171" s="26"/>
      <c r="F171" s="26"/>
      <c r="G171" s="26"/>
      <c r="H171" s="26"/>
      <c r="I171" s="26"/>
      <c r="J171" s="44"/>
      <c r="K171" s="26"/>
      <c r="L171" s="26"/>
    </row>
    <row r="172" spans="1:12" x14ac:dyDescent="0.25">
      <c r="A172" s="26"/>
      <c r="B172" s="25" t="str">
        <f>IF($A172="","",IFERROR(INDEX('Inventario General'!$C$5:$C$304,MATCH($A172,'Inventario General'!$A$5:$A$304,0))&amp;"","No está en el inventario"))</f>
        <v/>
      </c>
      <c r="C172" s="25" t="str">
        <f>IF($A172="","",IFERROR(INDEX('Inventario General'!$D$5:$D$304,MATCH($A172,'Inventario General'!$A$5:$A$304,0))&amp;"","No está en el inventario"))</f>
        <v/>
      </c>
      <c r="D172" s="25" t="str">
        <f>IF($A172="","",IFERROR(INDEX('Inventario General'!$I$5:$I$304,MATCH($A172,'Inventario General'!$A$5:$A$304,0))&amp;"","No está en el inventario"))</f>
        <v/>
      </c>
      <c r="E172" s="26"/>
      <c r="F172" s="26"/>
      <c r="G172" s="26"/>
      <c r="H172" s="26"/>
      <c r="I172" s="26"/>
      <c r="J172" s="44"/>
      <c r="K172" s="26"/>
      <c r="L172" s="26"/>
    </row>
    <row r="173" spans="1:12" x14ac:dyDescent="0.25">
      <c r="A173" s="26"/>
      <c r="B173" s="25" t="str">
        <f>IF($A173="","",IFERROR(INDEX('Inventario General'!$C$5:$C$304,MATCH($A173,'Inventario General'!$A$5:$A$304,0))&amp;"","No está en el inventario"))</f>
        <v/>
      </c>
      <c r="C173" s="25" t="str">
        <f>IF($A173="","",IFERROR(INDEX('Inventario General'!$D$5:$D$304,MATCH($A173,'Inventario General'!$A$5:$A$304,0))&amp;"","No está en el inventario"))</f>
        <v/>
      </c>
      <c r="D173" s="25" t="str">
        <f>IF($A173="","",IFERROR(INDEX('Inventario General'!$I$5:$I$304,MATCH($A173,'Inventario General'!$A$5:$A$304,0))&amp;"","No está en el inventario"))</f>
        <v/>
      </c>
      <c r="E173" s="26"/>
      <c r="F173" s="26"/>
      <c r="G173" s="26"/>
      <c r="H173" s="26"/>
      <c r="I173" s="26"/>
      <c r="J173" s="44"/>
      <c r="K173" s="26"/>
      <c r="L173" s="26"/>
    </row>
    <row r="174" spans="1:12" x14ac:dyDescent="0.25">
      <c r="A174" s="26"/>
      <c r="B174" s="25" t="str">
        <f>IF($A174="","",IFERROR(INDEX('Inventario General'!$C$5:$C$304,MATCH($A174,'Inventario General'!$A$5:$A$304,0))&amp;"","No está en el inventario"))</f>
        <v/>
      </c>
      <c r="C174" s="25" t="str">
        <f>IF($A174="","",IFERROR(INDEX('Inventario General'!$D$5:$D$304,MATCH($A174,'Inventario General'!$A$5:$A$304,0))&amp;"","No está en el inventario"))</f>
        <v/>
      </c>
      <c r="D174" s="25" t="str">
        <f>IF($A174="","",IFERROR(INDEX('Inventario General'!$I$5:$I$304,MATCH($A174,'Inventario General'!$A$5:$A$304,0))&amp;"","No está en el inventario"))</f>
        <v/>
      </c>
      <c r="E174" s="26"/>
      <c r="F174" s="26"/>
      <c r="G174" s="26"/>
      <c r="H174" s="26"/>
      <c r="I174" s="26"/>
      <c r="J174" s="44"/>
      <c r="K174" s="26"/>
      <c r="L174" s="26"/>
    </row>
    <row r="175" spans="1:12" x14ac:dyDescent="0.25">
      <c r="A175" s="26"/>
      <c r="B175" s="25" t="str">
        <f>IF($A175="","",IFERROR(INDEX('Inventario General'!$C$5:$C$304,MATCH($A175,'Inventario General'!$A$5:$A$304,0))&amp;"","No está en el inventario"))</f>
        <v/>
      </c>
      <c r="C175" s="25" t="str">
        <f>IF($A175="","",IFERROR(INDEX('Inventario General'!$D$5:$D$304,MATCH($A175,'Inventario General'!$A$5:$A$304,0))&amp;"","No está en el inventario"))</f>
        <v/>
      </c>
      <c r="D175" s="25" t="str">
        <f>IF($A175="","",IFERROR(INDEX('Inventario General'!$I$5:$I$304,MATCH($A175,'Inventario General'!$A$5:$A$304,0))&amp;"","No está en el inventario"))</f>
        <v/>
      </c>
      <c r="E175" s="26"/>
      <c r="F175" s="26"/>
      <c r="G175" s="26"/>
      <c r="H175" s="26"/>
      <c r="I175" s="26"/>
      <c r="J175" s="44"/>
      <c r="K175" s="26"/>
      <c r="L175" s="26"/>
    </row>
    <row r="176" spans="1:12" x14ac:dyDescent="0.25">
      <c r="A176" s="26"/>
      <c r="B176" s="25" t="str">
        <f>IF($A176="","",IFERROR(INDEX('Inventario General'!$C$5:$C$304,MATCH($A176,'Inventario General'!$A$5:$A$304,0))&amp;"","No está en el inventario"))</f>
        <v/>
      </c>
      <c r="C176" s="25" t="str">
        <f>IF($A176="","",IFERROR(INDEX('Inventario General'!$D$5:$D$304,MATCH($A176,'Inventario General'!$A$5:$A$304,0))&amp;"","No está en el inventario"))</f>
        <v/>
      </c>
      <c r="D176" s="25" t="str">
        <f>IF($A176="","",IFERROR(INDEX('Inventario General'!$I$5:$I$304,MATCH($A176,'Inventario General'!$A$5:$A$304,0))&amp;"","No está en el inventario"))</f>
        <v/>
      </c>
      <c r="E176" s="26"/>
      <c r="F176" s="26"/>
      <c r="G176" s="26"/>
      <c r="H176" s="26"/>
      <c r="I176" s="26"/>
      <c r="J176" s="44"/>
      <c r="K176" s="26"/>
      <c r="L176" s="26"/>
    </row>
    <row r="177" spans="1:12" x14ac:dyDescent="0.25">
      <c r="A177" s="26"/>
      <c r="B177" s="25" t="str">
        <f>IF($A177="","",IFERROR(INDEX('Inventario General'!$C$5:$C$304,MATCH($A177,'Inventario General'!$A$5:$A$304,0))&amp;"","No está en el inventario"))</f>
        <v/>
      </c>
      <c r="C177" s="25" t="str">
        <f>IF($A177="","",IFERROR(INDEX('Inventario General'!$D$5:$D$304,MATCH($A177,'Inventario General'!$A$5:$A$304,0))&amp;"","No está en el inventario"))</f>
        <v/>
      </c>
      <c r="D177" s="25" t="str">
        <f>IF($A177="","",IFERROR(INDEX('Inventario General'!$I$5:$I$304,MATCH($A177,'Inventario General'!$A$5:$A$304,0))&amp;"","No está en el inventario"))</f>
        <v/>
      </c>
      <c r="E177" s="26"/>
      <c r="F177" s="26"/>
      <c r="G177" s="26"/>
      <c r="H177" s="26"/>
      <c r="I177" s="26"/>
      <c r="J177" s="44"/>
      <c r="K177" s="26"/>
      <c r="L177" s="26"/>
    </row>
    <row r="178" spans="1:12" x14ac:dyDescent="0.25">
      <c r="A178" s="26"/>
      <c r="B178" s="25" t="str">
        <f>IF($A178="","",IFERROR(INDEX('Inventario General'!$C$5:$C$304,MATCH($A178,'Inventario General'!$A$5:$A$304,0))&amp;"","No está en el inventario"))</f>
        <v/>
      </c>
      <c r="C178" s="25" t="str">
        <f>IF($A178="","",IFERROR(INDEX('Inventario General'!$D$5:$D$304,MATCH($A178,'Inventario General'!$A$5:$A$304,0))&amp;"","No está en el inventario"))</f>
        <v/>
      </c>
      <c r="D178" s="25" t="str">
        <f>IF($A178="","",IFERROR(INDEX('Inventario General'!$I$5:$I$304,MATCH($A178,'Inventario General'!$A$5:$A$304,0))&amp;"","No está en el inventario"))</f>
        <v/>
      </c>
      <c r="E178" s="26"/>
      <c r="F178" s="26"/>
      <c r="G178" s="26"/>
      <c r="H178" s="26"/>
      <c r="I178" s="26"/>
      <c r="J178" s="44"/>
      <c r="K178" s="26"/>
      <c r="L178" s="26"/>
    </row>
    <row r="179" spans="1:12" x14ac:dyDescent="0.25">
      <c r="A179" s="26"/>
      <c r="B179" s="25" t="str">
        <f>IF($A179="","",IFERROR(INDEX('Inventario General'!$C$5:$C$304,MATCH($A179,'Inventario General'!$A$5:$A$304,0))&amp;"","No está en el inventario"))</f>
        <v/>
      </c>
      <c r="C179" s="25" t="str">
        <f>IF($A179="","",IFERROR(INDEX('Inventario General'!$D$5:$D$304,MATCH($A179,'Inventario General'!$A$5:$A$304,0))&amp;"","No está en el inventario"))</f>
        <v/>
      </c>
      <c r="D179" s="25" t="str">
        <f>IF($A179="","",IFERROR(INDEX('Inventario General'!$I$5:$I$304,MATCH($A179,'Inventario General'!$A$5:$A$304,0))&amp;"","No está en el inventario"))</f>
        <v/>
      </c>
      <c r="E179" s="26"/>
      <c r="F179" s="26"/>
      <c r="G179" s="26"/>
      <c r="H179" s="26"/>
      <c r="I179" s="26"/>
      <c r="J179" s="44"/>
      <c r="K179" s="26"/>
      <c r="L179" s="26"/>
    </row>
    <row r="180" spans="1:12" x14ac:dyDescent="0.25">
      <c r="A180" s="26"/>
      <c r="B180" s="25" t="str">
        <f>IF($A180="","",IFERROR(INDEX('Inventario General'!$C$5:$C$304,MATCH($A180,'Inventario General'!$A$5:$A$304,0))&amp;"","No está en el inventario"))</f>
        <v/>
      </c>
      <c r="C180" s="25" t="str">
        <f>IF($A180="","",IFERROR(INDEX('Inventario General'!$D$5:$D$304,MATCH($A180,'Inventario General'!$A$5:$A$304,0))&amp;"","No está en el inventario"))</f>
        <v/>
      </c>
      <c r="D180" s="25" t="str">
        <f>IF($A180="","",IFERROR(INDEX('Inventario General'!$I$5:$I$304,MATCH($A180,'Inventario General'!$A$5:$A$304,0))&amp;"","No está en el inventario"))</f>
        <v/>
      </c>
      <c r="E180" s="26"/>
      <c r="F180" s="26"/>
      <c r="G180" s="26"/>
      <c r="H180" s="26"/>
      <c r="I180" s="26"/>
      <c r="J180" s="44"/>
      <c r="K180" s="26"/>
      <c r="L180" s="26"/>
    </row>
    <row r="181" spans="1:12" x14ac:dyDescent="0.25">
      <c r="A181" s="26"/>
      <c r="B181" s="25" t="str">
        <f>IF($A181="","",IFERROR(INDEX('Inventario General'!$C$5:$C$304,MATCH($A181,'Inventario General'!$A$5:$A$304,0))&amp;"","No está en el inventario"))</f>
        <v/>
      </c>
      <c r="C181" s="25" t="str">
        <f>IF($A181="","",IFERROR(INDEX('Inventario General'!$D$5:$D$304,MATCH($A181,'Inventario General'!$A$5:$A$304,0))&amp;"","No está en el inventario"))</f>
        <v/>
      </c>
      <c r="D181" s="25" t="str">
        <f>IF($A181="","",IFERROR(INDEX('Inventario General'!$I$5:$I$304,MATCH($A181,'Inventario General'!$A$5:$A$304,0))&amp;"","No está en el inventario"))</f>
        <v/>
      </c>
      <c r="E181" s="26"/>
      <c r="F181" s="26"/>
      <c r="G181" s="26"/>
      <c r="H181" s="26"/>
      <c r="I181" s="26"/>
      <c r="J181" s="44"/>
      <c r="K181" s="26"/>
      <c r="L181" s="26"/>
    </row>
    <row r="182" spans="1:12" x14ac:dyDescent="0.25">
      <c r="A182" s="26"/>
      <c r="B182" s="25" t="str">
        <f>IF($A182="","",IFERROR(INDEX('Inventario General'!$C$5:$C$304,MATCH($A182,'Inventario General'!$A$5:$A$304,0))&amp;"","No está en el inventario"))</f>
        <v/>
      </c>
      <c r="C182" s="25" t="str">
        <f>IF($A182="","",IFERROR(INDEX('Inventario General'!$D$5:$D$304,MATCH($A182,'Inventario General'!$A$5:$A$304,0))&amp;"","No está en el inventario"))</f>
        <v/>
      </c>
      <c r="D182" s="25" t="str">
        <f>IF($A182="","",IFERROR(INDEX('Inventario General'!$I$5:$I$304,MATCH($A182,'Inventario General'!$A$5:$A$304,0))&amp;"","No está en el inventario"))</f>
        <v/>
      </c>
      <c r="E182" s="26"/>
      <c r="F182" s="26"/>
      <c r="G182" s="26"/>
      <c r="H182" s="26"/>
      <c r="I182" s="26"/>
      <c r="J182" s="44"/>
      <c r="K182" s="26"/>
      <c r="L182" s="26"/>
    </row>
    <row r="183" spans="1:12" x14ac:dyDescent="0.25">
      <c r="A183" s="26"/>
      <c r="B183" s="25" t="str">
        <f>IF($A183="","",IFERROR(INDEX('Inventario General'!$C$5:$C$304,MATCH($A183,'Inventario General'!$A$5:$A$304,0))&amp;"","No está en el inventario"))</f>
        <v/>
      </c>
      <c r="C183" s="25" t="str">
        <f>IF($A183="","",IFERROR(INDEX('Inventario General'!$D$5:$D$304,MATCH($A183,'Inventario General'!$A$5:$A$304,0))&amp;"","No está en el inventario"))</f>
        <v/>
      </c>
      <c r="D183" s="25" t="str">
        <f>IF($A183="","",IFERROR(INDEX('Inventario General'!$I$5:$I$304,MATCH($A183,'Inventario General'!$A$5:$A$304,0))&amp;"","No está en el inventario"))</f>
        <v/>
      </c>
      <c r="E183" s="26"/>
      <c r="F183" s="26"/>
      <c r="G183" s="26"/>
      <c r="H183" s="26"/>
      <c r="I183" s="26"/>
      <c r="J183" s="44"/>
      <c r="K183" s="26"/>
      <c r="L183" s="26"/>
    </row>
    <row r="184" spans="1:12" x14ac:dyDescent="0.25">
      <c r="A184" s="26"/>
      <c r="B184" s="25" t="str">
        <f>IF($A184="","",IFERROR(INDEX('Inventario General'!$C$5:$C$304,MATCH($A184,'Inventario General'!$A$5:$A$304,0))&amp;"","No está en el inventario"))</f>
        <v/>
      </c>
      <c r="C184" s="25" t="str">
        <f>IF($A184="","",IFERROR(INDEX('Inventario General'!$D$5:$D$304,MATCH($A184,'Inventario General'!$A$5:$A$304,0))&amp;"","No está en el inventario"))</f>
        <v/>
      </c>
      <c r="D184" s="25" t="str">
        <f>IF($A184="","",IFERROR(INDEX('Inventario General'!$I$5:$I$304,MATCH($A184,'Inventario General'!$A$5:$A$304,0))&amp;"","No está en el inventario"))</f>
        <v/>
      </c>
      <c r="E184" s="26"/>
      <c r="F184" s="26"/>
      <c r="G184" s="26"/>
      <c r="H184" s="26"/>
      <c r="I184" s="26"/>
      <c r="J184" s="44"/>
      <c r="K184" s="26"/>
      <c r="L184" s="26"/>
    </row>
    <row r="185" spans="1:12" x14ac:dyDescent="0.25">
      <c r="A185" s="26"/>
      <c r="B185" s="25" t="str">
        <f>IF($A185="","",IFERROR(INDEX('Inventario General'!$C$5:$C$304,MATCH($A185,'Inventario General'!$A$5:$A$304,0))&amp;"","No está en el inventario"))</f>
        <v/>
      </c>
      <c r="C185" s="25" t="str">
        <f>IF($A185="","",IFERROR(INDEX('Inventario General'!$D$5:$D$304,MATCH($A185,'Inventario General'!$A$5:$A$304,0))&amp;"","No está en el inventario"))</f>
        <v/>
      </c>
      <c r="D185" s="25" t="str">
        <f>IF($A185="","",IFERROR(INDEX('Inventario General'!$I$5:$I$304,MATCH($A185,'Inventario General'!$A$5:$A$304,0))&amp;"","No está en el inventario"))</f>
        <v/>
      </c>
      <c r="E185" s="26"/>
      <c r="F185" s="26"/>
      <c r="G185" s="26"/>
      <c r="H185" s="26"/>
      <c r="I185" s="26"/>
      <c r="J185" s="44"/>
      <c r="K185" s="26"/>
      <c r="L185" s="26"/>
    </row>
    <row r="186" spans="1:12" x14ac:dyDescent="0.25">
      <c r="A186" s="26"/>
      <c r="B186" s="25" t="str">
        <f>IF($A186="","",IFERROR(INDEX('Inventario General'!$C$5:$C$304,MATCH($A186,'Inventario General'!$A$5:$A$304,0))&amp;"","No está en el inventario"))</f>
        <v/>
      </c>
      <c r="C186" s="25" t="str">
        <f>IF($A186="","",IFERROR(INDEX('Inventario General'!$D$5:$D$304,MATCH($A186,'Inventario General'!$A$5:$A$304,0))&amp;"","No está en el inventario"))</f>
        <v/>
      </c>
      <c r="D186" s="25" t="str">
        <f>IF($A186="","",IFERROR(INDEX('Inventario General'!$I$5:$I$304,MATCH($A186,'Inventario General'!$A$5:$A$304,0))&amp;"","No está en el inventario"))</f>
        <v/>
      </c>
      <c r="E186" s="26"/>
      <c r="F186" s="26"/>
      <c r="G186" s="26"/>
      <c r="H186" s="26"/>
      <c r="I186" s="26"/>
      <c r="J186" s="44"/>
      <c r="K186" s="26"/>
      <c r="L186" s="26"/>
    </row>
    <row r="187" spans="1:12" x14ac:dyDescent="0.25">
      <c r="A187" s="26"/>
      <c r="B187" s="25" t="str">
        <f>IF($A187="","",IFERROR(INDEX('Inventario General'!$C$5:$C$304,MATCH($A187,'Inventario General'!$A$5:$A$304,0))&amp;"","No está en el inventario"))</f>
        <v/>
      </c>
      <c r="C187" s="25" t="str">
        <f>IF($A187="","",IFERROR(INDEX('Inventario General'!$D$5:$D$304,MATCH($A187,'Inventario General'!$A$5:$A$304,0))&amp;"","No está en el inventario"))</f>
        <v/>
      </c>
      <c r="D187" s="25" t="str">
        <f>IF($A187="","",IFERROR(INDEX('Inventario General'!$I$5:$I$304,MATCH($A187,'Inventario General'!$A$5:$A$304,0))&amp;"","No está en el inventario"))</f>
        <v/>
      </c>
      <c r="E187" s="26"/>
      <c r="F187" s="26"/>
      <c r="G187" s="26"/>
      <c r="H187" s="26"/>
      <c r="I187" s="26"/>
      <c r="J187" s="44"/>
      <c r="K187" s="26"/>
      <c r="L187" s="26"/>
    </row>
    <row r="188" spans="1:12" x14ac:dyDescent="0.25">
      <c r="A188" s="26"/>
      <c r="B188" s="25" t="str">
        <f>IF($A188="","",IFERROR(INDEX('Inventario General'!$C$5:$C$304,MATCH($A188,'Inventario General'!$A$5:$A$304,0))&amp;"","No está en el inventario"))</f>
        <v/>
      </c>
      <c r="C188" s="25" t="str">
        <f>IF($A188="","",IFERROR(INDEX('Inventario General'!$D$5:$D$304,MATCH($A188,'Inventario General'!$A$5:$A$304,0))&amp;"","No está en el inventario"))</f>
        <v/>
      </c>
      <c r="D188" s="25" t="str">
        <f>IF($A188="","",IFERROR(INDEX('Inventario General'!$I$5:$I$304,MATCH($A188,'Inventario General'!$A$5:$A$304,0))&amp;"","No está en el inventario"))</f>
        <v/>
      </c>
      <c r="E188" s="26"/>
      <c r="F188" s="26"/>
      <c r="G188" s="26"/>
      <c r="H188" s="26"/>
      <c r="I188" s="26"/>
      <c r="J188" s="44"/>
      <c r="K188" s="26"/>
      <c r="L188" s="26"/>
    </row>
    <row r="189" spans="1:12" x14ac:dyDescent="0.25">
      <c r="A189" s="26"/>
      <c r="B189" s="25" t="str">
        <f>IF($A189="","",IFERROR(INDEX('Inventario General'!$C$5:$C$304,MATCH($A189,'Inventario General'!$A$5:$A$304,0))&amp;"","No está en el inventario"))</f>
        <v/>
      </c>
      <c r="C189" s="25" t="str">
        <f>IF($A189="","",IFERROR(INDEX('Inventario General'!$D$5:$D$304,MATCH($A189,'Inventario General'!$A$5:$A$304,0))&amp;"","No está en el inventario"))</f>
        <v/>
      </c>
      <c r="D189" s="25" t="str">
        <f>IF($A189="","",IFERROR(INDEX('Inventario General'!$I$5:$I$304,MATCH($A189,'Inventario General'!$A$5:$A$304,0))&amp;"","No está en el inventario"))</f>
        <v/>
      </c>
      <c r="E189" s="26"/>
      <c r="F189" s="26"/>
      <c r="G189" s="26"/>
      <c r="H189" s="26"/>
      <c r="I189" s="26"/>
      <c r="J189" s="44"/>
      <c r="K189" s="26"/>
      <c r="L189" s="26"/>
    </row>
    <row r="190" spans="1:12" x14ac:dyDescent="0.25">
      <c r="A190" s="26"/>
      <c r="B190" s="25" t="str">
        <f>IF($A190="","",IFERROR(INDEX('Inventario General'!$C$5:$C$304,MATCH($A190,'Inventario General'!$A$5:$A$304,0))&amp;"","No está en el inventario"))</f>
        <v/>
      </c>
      <c r="C190" s="25" t="str">
        <f>IF($A190="","",IFERROR(INDEX('Inventario General'!$D$5:$D$304,MATCH($A190,'Inventario General'!$A$5:$A$304,0))&amp;"","No está en el inventario"))</f>
        <v/>
      </c>
      <c r="D190" s="25" t="str">
        <f>IF($A190="","",IFERROR(INDEX('Inventario General'!$I$5:$I$304,MATCH($A190,'Inventario General'!$A$5:$A$304,0))&amp;"","No está en el inventario"))</f>
        <v/>
      </c>
      <c r="E190" s="26"/>
      <c r="F190" s="26"/>
      <c r="G190" s="26"/>
      <c r="H190" s="26"/>
      <c r="I190" s="26"/>
      <c r="J190" s="44"/>
      <c r="K190" s="26"/>
      <c r="L190" s="26"/>
    </row>
    <row r="191" spans="1:12" x14ac:dyDescent="0.25">
      <c r="A191" s="26"/>
      <c r="B191" s="25" t="str">
        <f>IF($A191="","",IFERROR(INDEX('Inventario General'!$C$5:$C$304,MATCH($A191,'Inventario General'!$A$5:$A$304,0))&amp;"","No está en el inventario"))</f>
        <v/>
      </c>
      <c r="C191" s="25" t="str">
        <f>IF($A191="","",IFERROR(INDEX('Inventario General'!$D$5:$D$304,MATCH($A191,'Inventario General'!$A$5:$A$304,0))&amp;"","No está en el inventario"))</f>
        <v/>
      </c>
      <c r="D191" s="25" t="str">
        <f>IF($A191="","",IFERROR(INDEX('Inventario General'!$I$5:$I$304,MATCH($A191,'Inventario General'!$A$5:$A$304,0))&amp;"","No está en el inventario"))</f>
        <v/>
      </c>
      <c r="E191" s="26"/>
      <c r="F191" s="26"/>
      <c r="G191" s="26"/>
      <c r="H191" s="26"/>
      <c r="I191" s="26"/>
      <c r="J191" s="44"/>
      <c r="K191" s="26"/>
      <c r="L191" s="26"/>
    </row>
    <row r="192" spans="1:12" x14ac:dyDescent="0.25">
      <c r="A192" s="26"/>
      <c r="B192" s="25" t="str">
        <f>IF($A192="","",IFERROR(INDEX('Inventario General'!$C$5:$C$304,MATCH($A192,'Inventario General'!$A$5:$A$304,0))&amp;"","No está en el inventario"))</f>
        <v/>
      </c>
      <c r="C192" s="25" t="str">
        <f>IF($A192="","",IFERROR(INDEX('Inventario General'!$D$5:$D$304,MATCH($A192,'Inventario General'!$A$5:$A$304,0))&amp;"","No está en el inventario"))</f>
        <v/>
      </c>
      <c r="D192" s="25" t="str">
        <f>IF($A192="","",IFERROR(INDEX('Inventario General'!$I$5:$I$304,MATCH($A192,'Inventario General'!$A$5:$A$304,0))&amp;"","No está en el inventario"))</f>
        <v/>
      </c>
      <c r="E192" s="26"/>
      <c r="F192" s="26"/>
      <c r="G192" s="26"/>
      <c r="H192" s="26"/>
      <c r="I192" s="26"/>
      <c r="J192" s="44"/>
      <c r="K192" s="26"/>
      <c r="L192" s="26"/>
    </row>
    <row r="193" spans="1:12" x14ac:dyDescent="0.25">
      <c r="A193" s="26"/>
      <c r="B193" s="25" t="str">
        <f>IF($A193="","",IFERROR(INDEX('Inventario General'!$C$5:$C$304,MATCH($A193,'Inventario General'!$A$5:$A$304,0))&amp;"","No está en el inventario"))</f>
        <v/>
      </c>
      <c r="C193" s="25" t="str">
        <f>IF($A193="","",IFERROR(INDEX('Inventario General'!$D$5:$D$304,MATCH($A193,'Inventario General'!$A$5:$A$304,0))&amp;"","No está en el inventario"))</f>
        <v/>
      </c>
      <c r="D193" s="25" t="str">
        <f>IF($A193="","",IFERROR(INDEX('Inventario General'!$I$5:$I$304,MATCH($A193,'Inventario General'!$A$5:$A$304,0))&amp;"","No está en el inventario"))</f>
        <v/>
      </c>
      <c r="E193" s="26"/>
      <c r="F193" s="26"/>
      <c r="G193" s="26"/>
      <c r="H193" s="26"/>
      <c r="I193" s="26"/>
      <c r="J193" s="44"/>
      <c r="K193" s="26"/>
      <c r="L193" s="26"/>
    </row>
    <row r="194" spans="1:12" x14ac:dyDescent="0.25">
      <c r="A194" s="26"/>
      <c r="B194" s="25" t="str">
        <f>IF($A194="","",IFERROR(INDEX('Inventario General'!$C$5:$C$304,MATCH($A194,'Inventario General'!$A$5:$A$304,0))&amp;"","No está en el inventario"))</f>
        <v/>
      </c>
      <c r="C194" s="25" t="str">
        <f>IF($A194="","",IFERROR(INDEX('Inventario General'!$D$5:$D$304,MATCH($A194,'Inventario General'!$A$5:$A$304,0))&amp;"","No está en el inventario"))</f>
        <v/>
      </c>
      <c r="D194" s="25" t="str">
        <f>IF($A194="","",IFERROR(INDEX('Inventario General'!$I$5:$I$304,MATCH($A194,'Inventario General'!$A$5:$A$304,0))&amp;"","No está en el inventario"))</f>
        <v/>
      </c>
      <c r="E194" s="26"/>
      <c r="F194" s="26"/>
      <c r="G194" s="26"/>
      <c r="H194" s="26"/>
      <c r="I194" s="26"/>
      <c r="J194" s="44"/>
      <c r="K194" s="26"/>
      <c r="L194" s="26"/>
    </row>
    <row r="195" spans="1:12" x14ac:dyDescent="0.25">
      <c r="A195" s="26"/>
      <c r="B195" s="25" t="str">
        <f>IF($A195="","",IFERROR(INDEX('Inventario General'!$C$5:$C$304,MATCH($A195,'Inventario General'!$A$5:$A$304,0))&amp;"","No está en el inventario"))</f>
        <v/>
      </c>
      <c r="C195" s="25" t="str">
        <f>IF($A195="","",IFERROR(INDEX('Inventario General'!$D$5:$D$304,MATCH($A195,'Inventario General'!$A$5:$A$304,0))&amp;"","No está en el inventario"))</f>
        <v/>
      </c>
      <c r="D195" s="25" t="str">
        <f>IF($A195="","",IFERROR(INDEX('Inventario General'!$I$5:$I$304,MATCH($A195,'Inventario General'!$A$5:$A$304,0))&amp;"","No está en el inventario"))</f>
        <v/>
      </c>
      <c r="E195" s="26"/>
      <c r="F195" s="26"/>
      <c r="G195" s="26"/>
      <c r="H195" s="26"/>
      <c r="I195" s="26"/>
      <c r="J195" s="44"/>
      <c r="K195" s="26"/>
      <c r="L195" s="26"/>
    </row>
    <row r="196" spans="1:12" x14ac:dyDescent="0.25">
      <c r="A196" s="26"/>
      <c r="B196" s="25" t="str">
        <f>IF($A196="","",IFERROR(INDEX('Inventario General'!$C$5:$C$304,MATCH($A196,'Inventario General'!$A$5:$A$304,0))&amp;"","No está en el inventario"))</f>
        <v/>
      </c>
      <c r="C196" s="25" t="str">
        <f>IF($A196="","",IFERROR(INDEX('Inventario General'!$D$5:$D$304,MATCH($A196,'Inventario General'!$A$5:$A$304,0))&amp;"","No está en el inventario"))</f>
        <v/>
      </c>
      <c r="D196" s="25" t="str">
        <f>IF($A196="","",IFERROR(INDEX('Inventario General'!$I$5:$I$304,MATCH($A196,'Inventario General'!$A$5:$A$304,0))&amp;"","No está en el inventario"))</f>
        <v/>
      </c>
      <c r="E196" s="26"/>
      <c r="F196" s="26"/>
      <c r="G196" s="26"/>
      <c r="H196" s="26"/>
      <c r="I196" s="26"/>
      <c r="J196" s="44"/>
      <c r="K196" s="26"/>
      <c r="L196" s="26"/>
    </row>
    <row r="197" spans="1:12" x14ac:dyDescent="0.25">
      <c r="A197" s="26"/>
      <c r="B197" s="25" t="str">
        <f>IF($A197="","",IFERROR(INDEX('Inventario General'!$C$5:$C$304,MATCH($A197,'Inventario General'!$A$5:$A$304,0))&amp;"","No está en el inventario"))</f>
        <v/>
      </c>
      <c r="C197" s="25" t="str">
        <f>IF($A197="","",IFERROR(INDEX('Inventario General'!$D$5:$D$304,MATCH($A197,'Inventario General'!$A$5:$A$304,0))&amp;"","No está en el inventario"))</f>
        <v/>
      </c>
      <c r="D197" s="25" t="str">
        <f>IF($A197="","",IFERROR(INDEX('Inventario General'!$I$5:$I$304,MATCH($A197,'Inventario General'!$A$5:$A$304,0))&amp;"","No está en el inventario"))</f>
        <v/>
      </c>
      <c r="E197" s="26"/>
      <c r="F197" s="26"/>
      <c r="G197" s="26"/>
      <c r="H197" s="26"/>
      <c r="I197" s="26"/>
      <c r="J197" s="44"/>
      <c r="K197" s="26"/>
      <c r="L197" s="26"/>
    </row>
    <row r="198" spans="1:12" x14ac:dyDescent="0.25">
      <c r="A198" s="26"/>
      <c r="B198" s="25" t="str">
        <f>IF($A198="","",IFERROR(INDEX('Inventario General'!$C$5:$C$304,MATCH($A198,'Inventario General'!$A$5:$A$304,0))&amp;"","No está en el inventario"))</f>
        <v/>
      </c>
      <c r="C198" s="25" t="str">
        <f>IF($A198="","",IFERROR(INDEX('Inventario General'!$D$5:$D$304,MATCH($A198,'Inventario General'!$A$5:$A$304,0))&amp;"","No está en el inventario"))</f>
        <v/>
      </c>
      <c r="D198" s="25" t="str">
        <f>IF($A198="","",IFERROR(INDEX('Inventario General'!$I$5:$I$304,MATCH($A198,'Inventario General'!$A$5:$A$304,0))&amp;"","No está en el inventario"))</f>
        <v/>
      </c>
      <c r="E198" s="26"/>
      <c r="F198" s="26"/>
      <c r="G198" s="26"/>
      <c r="H198" s="26"/>
      <c r="I198" s="26"/>
      <c r="J198" s="44"/>
      <c r="K198" s="26"/>
      <c r="L198" s="26"/>
    </row>
    <row r="199" spans="1:12" x14ac:dyDescent="0.25">
      <c r="A199" s="26"/>
      <c r="B199" s="25" t="str">
        <f>IF($A199="","",IFERROR(INDEX('Inventario General'!$C$5:$C$304,MATCH($A199,'Inventario General'!$A$5:$A$304,0))&amp;"","No está en el inventario"))</f>
        <v/>
      </c>
      <c r="C199" s="25" t="str">
        <f>IF($A199="","",IFERROR(INDEX('Inventario General'!$D$5:$D$304,MATCH($A199,'Inventario General'!$A$5:$A$304,0))&amp;"","No está en el inventario"))</f>
        <v/>
      </c>
      <c r="D199" s="25" t="str">
        <f>IF($A199="","",IFERROR(INDEX('Inventario General'!$I$5:$I$304,MATCH($A199,'Inventario General'!$A$5:$A$304,0))&amp;"","No está en el inventario"))</f>
        <v/>
      </c>
      <c r="E199" s="26"/>
      <c r="F199" s="26"/>
      <c r="G199" s="26"/>
      <c r="H199" s="26"/>
      <c r="I199" s="26"/>
      <c r="J199" s="44"/>
      <c r="K199" s="26"/>
      <c r="L199" s="26"/>
    </row>
    <row r="200" spans="1:12" x14ac:dyDescent="0.25">
      <c r="A200" s="26"/>
      <c r="B200" s="25" t="str">
        <f>IF($A200="","",IFERROR(INDEX('Inventario General'!$C$5:$C$304,MATCH($A200,'Inventario General'!$A$5:$A$304,0))&amp;"","No está en el inventario"))</f>
        <v/>
      </c>
      <c r="C200" s="25" t="str">
        <f>IF($A200="","",IFERROR(INDEX('Inventario General'!$D$5:$D$304,MATCH($A200,'Inventario General'!$A$5:$A$304,0))&amp;"","No está en el inventario"))</f>
        <v/>
      </c>
      <c r="D200" s="25" t="str">
        <f>IF($A200="","",IFERROR(INDEX('Inventario General'!$I$5:$I$304,MATCH($A200,'Inventario General'!$A$5:$A$304,0))&amp;"","No está en el inventario"))</f>
        <v/>
      </c>
      <c r="E200" s="26"/>
      <c r="F200" s="26"/>
      <c r="G200" s="26"/>
      <c r="H200" s="26"/>
      <c r="I200" s="26"/>
      <c r="J200" s="44"/>
      <c r="K200" s="26"/>
      <c r="L200" s="26"/>
    </row>
    <row r="201" spans="1:12" x14ac:dyDescent="0.25">
      <c r="A201" s="26"/>
      <c r="B201" s="25" t="str">
        <f>IF($A201="","",IFERROR(INDEX('Inventario General'!$C$5:$C$304,MATCH($A201,'Inventario General'!$A$5:$A$304,0))&amp;"","No está en el inventario"))</f>
        <v/>
      </c>
      <c r="C201" s="25" t="str">
        <f>IF($A201="","",IFERROR(INDEX('Inventario General'!$D$5:$D$304,MATCH($A201,'Inventario General'!$A$5:$A$304,0))&amp;"","No está en el inventario"))</f>
        <v/>
      </c>
      <c r="D201" s="25" t="str">
        <f>IF($A201="","",IFERROR(INDEX('Inventario General'!$I$5:$I$304,MATCH($A201,'Inventario General'!$A$5:$A$304,0))&amp;"","No está en el inventario"))</f>
        <v/>
      </c>
      <c r="E201" s="26"/>
      <c r="F201" s="26"/>
      <c r="G201" s="26"/>
      <c r="H201" s="26"/>
      <c r="I201" s="26"/>
      <c r="J201" s="44"/>
      <c r="K201" s="26"/>
      <c r="L201" s="26"/>
    </row>
    <row r="202" spans="1:12" x14ac:dyDescent="0.25">
      <c r="A202" s="26"/>
      <c r="B202" s="25" t="str">
        <f>IF($A202="","",IFERROR(INDEX('Inventario General'!$C$5:$C$304,MATCH($A202,'Inventario General'!$A$5:$A$304,0))&amp;"","No está en el inventario"))</f>
        <v/>
      </c>
      <c r="C202" s="25" t="str">
        <f>IF($A202="","",IFERROR(INDEX('Inventario General'!$D$5:$D$304,MATCH($A202,'Inventario General'!$A$5:$A$304,0))&amp;"","No está en el inventario"))</f>
        <v/>
      </c>
      <c r="D202" s="25" t="str">
        <f>IF($A202="","",IFERROR(INDEX('Inventario General'!$I$5:$I$304,MATCH($A202,'Inventario General'!$A$5:$A$304,0))&amp;"","No está en el inventario"))</f>
        <v/>
      </c>
      <c r="E202" s="26"/>
      <c r="F202" s="26"/>
      <c r="G202" s="26"/>
      <c r="H202" s="26"/>
      <c r="I202" s="26"/>
      <c r="J202" s="44"/>
      <c r="K202" s="26"/>
      <c r="L202" s="26"/>
    </row>
    <row r="203" spans="1:12" x14ac:dyDescent="0.25">
      <c r="A203" s="26"/>
      <c r="B203" s="25" t="str">
        <f>IF($A203="","",IFERROR(INDEX('Inventario General'!$C$5:$C$304,MATCH($A203,'Inventario General'!$A$5:$A$304,0))&amp;"","No está en el inventario"))</f>
        <v/>
      </c>
      <c r="C203" s="25" t="str">
        <f>IF($A203="","",IFERROR(INDEX('Inventario General'!$D$5:$D$304,MATCH($A203,'Inventario General'!$A$5:$A$304,0))&amp;"","No está en el inventario"))</f>
        <v/>
      </c>
      <c r="D203" s="25" t="str">
        <f>IF($A203="","",IFERROR(INDEX('Inventario General'!$I$5:$I$304,MATCH($A203,'Inventario General'!$A$5:$A$304,0))&amp;"","No está en el inventario"))</f>
        <v/>
      </c>
      <c r="E203" s="26"/>
      <c r="F203" s="26"/>
      <c r="G203" s="26"/>
      <c r="H203" s="26"/>
      <c r="I203" s="26"/>
      <c r="J203" s="44"/>
      <c r="K203" s="26"/>
      <c r="L203" s="26"/>
    </row>
    <row r="204" spans="1:12" x14ac:dyDescent="0.25">
      <c r="A204" s="26"/>
      <c r="B204" s="25" t="str">
        <f>IF($A204="","",IFERROR(INDEX('Inventario General'!$C$5:$C$304,MATCH($A204,'Inventario General'!$A$5:$A$304,0))&amp;"","No está en el inventario"))</f>
        <v/>
      </c>
      <c r="C204" s="25" t="str">
        <f>IF($A204="","",IFERROR(INDEX('Inventario General'!$D$5:$D$304,MATCH($A204,'Inventario General'!$A$5:$A$304,0))&amp;"","No está en el inventario"))</f>
        <v/>
      </c>
      <c r="D204" s="25" t="str">
        <f>IF($A204="","",IFERROR(INDEX('Inventario General'!$I$5:$I$304,MATCH($A204,'Inventario General'!$A$5:$A$304,0))&amp;"","No está en el inventario"))</f>
        <v/>
      </c>
      <c r="E204" s="26"/>
      <c r="F204" s="26"/>
      <c r="G204" s="26"/>
      <c r="H204" s="26"/>
      <c r="I204" s="26"/>
      <c r="J204" s="44"/>
      <c r="K204" s="26"/>
      <c r="L204" s="26"/>
    </row>
  </sheetData>
  <autoFilter ref="A4:L204" xr:uid="{00000000-0009-0000-0000-000007000000}"/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Código no encontrado" error="El código debe existir primero en la hoja 'Inventario General'." xr:uid="{00000000-0002-0000-0700-000000000000}">
          <x14:formula1>
            <xm:f>'Inventario General'!$A$5:$A$304</xm:f>
          </x14:formula1>
          <x14:formula2>
            <xm:f>0</xm:f>
          </x14:formula2>
          <xm:sqref>A5:A204</xm:sqref>
        </x14:dataValidation>
        <x14:dataValidation type="list" allowBlank="1" showErrorMessage="1" errorTitle="Valor no válido" error="Elija un valor de la lista. Las listas se editan en la hoja 'Listas'." xr:uid="{00000000-0002-0000-0700-000001000000}">
          <x14:formula1>
            <xm:f>OFFSET(Listas!$Q$2,0,0,MAX(1,COUNTA(Listas!$Q$2:$Q$60)),1)</xm:f>
          </x14:formula1>
          <x14:formula2>
            <xm:f>0</xm:f>
          </x14:formula2>
          <xm:sqref>E5:E204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  <pageSetUpPr fitToPage="1"/>
  </sheetPr>
  <dimension ref="A1:Q204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14" customWidth="1"/>
    <col min="2" max="2" width="28" customWidth="1"/>
    <col min="3" max="3" width="10" customWidth="1"/>
    <col min="4" max="5" width="18" customWidth="1"/>
    <col min="6" max="6" width="11" customWidth="1"/>
    <col min="7" max="7" width="10" customWidth="1"/>
    <col min="8" max="8" width="11" customWidth="1"/>
    <col min="9" max="9" width="24" customWidth="1"/>
    <col min="10" max="11" width="13" customWidth="1"/>
    <col min="12" max="12" width="14" customWidth="1"/>
    <col min="13" max="13" width="13" customWidth="1"/>
    <col min="14" max="14" width="24" customWidth="1"/>
    <col min="15" max="15" width="28" customWidth="1"/>
    <col min="16" max="16" width="22" customWidth="1"/>
    <col min="17" max="17" width="30" customWidth="1"/>
  </cols>
  <sheetData>
    <row r="1" spans="1:17" ht="18" x14ac:dyDescent="0.25">
      <c r="A1" s="18" t="s">
        <v>268</v>
      </c>
    </row>
    <row r="2" spans="1:17" x14ac:dyDescent="0.25">
      <c r="A2" s="11" t="s">
        <v>269</v>
      </c>
    </row>
    <row r="4" spans="1:17" ht="48" customHeight="1" x14ac:dyDescent="0.25">
      <c r="A4" s="12" t="s">
        <v>270</v>
      </c>
      <c r="B4" s="12" t="s">
        <v>271</v>
      </c>
      <c r="C4" s="12" t="s">
        <v>272</v>
      </c>
      <c r="D4" s="12" t="s">
        <v>273</v>
      </c>
      <c r="E4" s="12" t="s">
        <v>274</v>
      </c>
      <c r="F4" s="12" t="s">
        <v>275</v>
      </c>
      <c r="G4" s="12" t="s">
        <v>276</v>
      </c>
      <c r="H4" s="19" t="s">
        <v>277</v>
      </c>
      <c r="I4" s="12" t="s">
        <v>278</v>
      </c>
      <c r="J4" s="12" t="s">
        <v>86</v>
      </c>
      <c r="K4" s="12" t="s">
        <v>279</v>
      </c>
      <c r="L4" s="19" t="s">
        <v>280</v>
      </c>
      <c r="M4" s="12" t="s">
        <v>281</v>
      </c>
      <c r="N4" s="12" t="s">
        <v>87</v>
      </c>
      <c r="O4" s="12" t="s">
        <v>282</v>
      </c>
      <c r="P4" s="12" t="s">
        <v>283</v>
      </c>
      <c r="Q4" s="12" t="s">
        <v>100</v>
      </c>
    </row>
    <row r="5" spans="1:17" x14ac:dyDescent="0.25">
      <c r="A5" s="20" t="s">
        <v>284</v>
      </c>
      <c r="B5" s="20" t="s">
        <v>285</v>
      </c>
      <c r="C5" s="20" t="s">
        <v>286</v>
      </c>
      <c r="D5" s="20" t="s">
        <v>287</v>
      </c>
      <c r="E5" s="20" t="s">
        <v>288</v>
      </c>
      <c r="F5" s="42">
        <v>25</v>
      </c>
      <c r="G5" s="42">
        <v>22</v>
      </c>
      <c r="H5" s="48">
        <f t="shared" ref="H5:H36" si="0">IF(F5="","",F5-G5)</f>
        <v>3</v>
      </c>
      <c r="I5" s="20" t="s">
        <v>289</v>
      </c>
      <c r="J5" s="21">
        <v>45962</v>
      </c>
      <c r="K5" s="21">
        <v>46326</v>
      </c>
      <c r="L5" s="25" t="str">
        <f ca="1">IF(E5="","",IF(E5="Perpetua","Perpetua",IF(K5="","Sin fecha",IF(K5&lt;TODAY(),"Vencida",IF(K5-TODAY()&lt;=Listas!$T$2,"Por vencer","Vigente")))))</f>
        <v>Por vencer</v>
      </c>
      <c r="M5" s="22">
        <v>15000</v>
      </c>
      <c r="N5" s="20" t="s">
        <v>110</v>
      </c>
      <c r="O5" s="20" t="s">
        <v>290</v>
      </c>
      <c r="P5" s="20" t="s">
        <v>125</v>
      </c>
      <c r="Q5" s="20" t="s">
        <v>129</v>
      </c>
    </row>
    <row r="6" spans="1:17" x14ac:dyDescent="0.25">
      <c r="A6" s="26"/>
      <c r="B6" s="26"/>
      <c r="C6" s="26"/>
      <c r="D6" s="26"/>
      <c r="E6" s="26"/>
      <c r="F6" s="44"/>
      <c r="G6" s="44"/>
      <c r="H6" s="48" t="str">
        <f t="shared" si="0"/>
        <v/>
      </c>
      <c r="I6" s="26"/>
      <c r="J6" s="27"/>
      <c r="K6" s="27"/>
      <c r="L6" s="25" t="str">
        <f ca="1">IF(E6="","",IF(E6="Perpetua","Perpetua",IF(K6="","Sin fecha",IF(K6&lt;TODAY(),"Vencida",IF(K6-TODAY()&lt;=Listas!$T$2,"Por vencer","Vigente")))))</f>
        <v/>
      </c>
      <c r="M6" s="28"/>
      <c r="N6" s="26"/>
      <c r="O6" s="26"/>
      <c r="P6" s="26"/>
      <c r="Q6" s="26"/>
    </row>
    <row r="7" spans="1:17" x14ac:dyDescent="0.25">
      <c r="A7" s="26"/>
      <c r="B7" s="26"/>
      <c r="C7" s="26"/>
      <c r="D7" s="26"/>
      <c r="E7" s="26"/>
      <c r="F7" s="44"/>
      <c r="G7" s="44"/>
      <c r="H7" s="48" t="str">
        <f t="shared" si="0"/>
        <v/>
      </c>
      <c r="I7" s="26"/>
      <c r="J7" s="27"/>
      <c r="K7" s="27"/>
      <c r="L7" s="25" t="str">
        <f ca="1">IF(E7="","",IF(E7="Perpetua","Perpetua",IF(K7="","Sin fecha",IF(K7&lt;TODAY(),"Vencida",IF(K7-TODAY()&lt;=Listas!$T$2,"Por vencer","Vigente")))))</f>
        <v/>
      </c>
      <c r="M7" s="28"/>
      <c r="N7" s="26"/>
      <c r="O7" s="26"/>
      <c r="P7" s="26"/>
      <c r="Q7" s="26"/>
    </row>
    <row r="8" spans="1:17" x14ac:dyDescent="0.25">
      <c r="A8" s="26"/>
      <c r="B8" s="26"/>
      <c r="C8" s="26"/>
      <c r="D8" s="26"/>
      <c r="E8" s="26"/>
      <c r="F8" s="44"/>
      <c r="G8" s="44"/>
      <c r="H8" s="48" t="str">
        <f t="shared" si="0"/>
        <v/>
      </c>
      <c r="I8" s="26"/>
      <c r="J8" s="27"/>
      <c r="K8" s="27"/>
      <c r="L8" s="25" t="str">
        <f ca="1">IF(E8="","",IF(E8="Perpetua","Perpetua",IF(K8="","Sin fecha",IF(K8&lt;TODAY(),"Vencida",IF(K8-TODAY()&lt;=Listas!$T$2,"Por vencer","Vigente")))))</f>
        <v/>
      </c>
      <c r="M8" s="28"/>
      <c r="N8" s="26"/>
      <c r="O8" s="26"/>
      <c r="P8" s="26"/>
      <c r="Q8" s="26"/>
    </row>
    <row r="9" spans="1:17" x14ac:dyDescent="0.25">
      <c r="A9" s="26"/>
      <c r="B9" s="26"/>
      <c r="C9" s="26"/>
      <c r="D9" s="26"/>
      <c r="E9" s="26"/>
      <c r="F9" s="44"/>
      <c r="G9" s="44"/>
      <c r="H9" s="48" t="str">
        <f t="shared" si="0"/>
        <v/>
      </c>
      <c r="I9" s="26"/>
      <c r="J9" s="27"/>
      <c r="K9" s="27"/>
      <c r="L9" s="25" t="str">
        <f ca="1">IF(E9="","",IF(E9="Perpetua","Perpetua",IF(K9="","Sin fecha",IF(K9&lt;TODAY(),"Vencida",IF(K9-TODAY()&lt;=Listas!$T$2,"Por vencer","Vigente")))))</f>
        <v/>
      </c>
      <c r="M9" s="28"/>
      <c r="N9" s="26"/>
      <c r="O9" s="26"/>
      <c r="P9" s="26"/>
      <c r="Q9" s="26"/>
    </row>
    <row r="10" spans="1:17" x14ac:dyDescent="0.25">
      <c r="A10" s="26"/>
      <c r="B10" s="26"/>
      <c r="C10" s="26"/>
      <c r="D10" s="26"/>
      <c r="E10" s="26"/>
      <c r="F10" s="44"/>
      <c r="G10" s="44"/>
      <c r="H10" s="48" t="str">
        <f t="shared" si="0"/>
        <v/>
      </c>
      <c r="I10" s="26"/>
      <c r="J10" s="27"/>
      <c r="K10" s="27"/>
      <c r="L10" s="25" t="str">
        <f ca="1">IF(E10="","",IF(E10="Perpetua","Perpetua",IF(K10="","Sin fecha",IF(K10&lt;TODAY(),"Vencida",IF(K10-TODAY()&lt;=Listas!$T$2,"Por vencer","Vigente")))))</f>
        <v/>
      </c>
      <c r="M10" s="28"/>
      <c r="N10" s="26"/>
      <c r="O10" s="26"/>
      <c r="P10" s="26"/>
      <c r="Q10" s="26"/>
    </row>
    <row r="11" spans="1:17" x14ac:dyDescent="0.25">
      <c r="A11" s="26"/>
      <c r="B11" s="26"/>
      <c r="C11" s="26"/>
      <c r="D11" s="26"/>
      <c r="E11" s="26"/>
      <c r="F11" s="44"/>
      <c r="G11" s="44"/>
      <c r="H11" s="48" t="str">
        <f t="shared" si="0"/>
        <v/>
      </c>
      <c r="I11" s="26"/>
      <c r="J11" s="27"/>
      <c r="K11" s="27"/>
      <c r="L11" s="25" t="str">
        <f ca="1">IF(E11="","",IF(E11="Perpetua","Perpetua",IF(K11="","Sin fecha",IF(K11&lt;TODAY(),"Vencida",IF(K11-TODAY()&lt;=Listas!$T$2,"Por vencer","Vigente")))))</f>
        <v/>
      </c>
      <c r="M11" s="28"/>
      <c r="N11" s="26"/>
      <c r="O11" s="26"/>
      <c r="P11" s="26"/>
      <c r="Q11" s="26"/>
    </row>
    <row r="12" spans="1:17" x14ac:dyDescent="0.25">
      <c r="A12" s="26"/>
      <c r="B12" s="26"/>
      <c r="C12" s="26"/>
      <c r="D12" s="26"/>
      <c r="E12" s="26"/>
      <c r="F12" s="44"/>
      <c r="G12" s="44"/>
      <c r="H12" s="48" t="str">
        <f t="shared" si="0"/>
        <v/>
      </c>
      <c r="I12" s="26"/>
      <c r="J12" s="27"/>
      <c r="K12" s="27"/>
      <c r="L12" s="25" t="str">
        <f ca="1">IF(E12="","",IF(E12="Perpetua","Perpetua",IF(K12="","Sin fecha",IF(K12&lt;TODAY(),"Vencida",IF(K12-TODAY()&lt;=Listas!$T$2,"Por vencer","Vigente")))))</f>
        <v/>
      </c>
      <c r="M12" s="28"/>
      <c r="N12" s="26"/>
      <c r="O12" s="26"/>
      <c r="P12" s="26"/>
      <c r="Q12" s="26"/>
    </row>
    <row r="13" spans="1:17" x14ac:dyDescent="0.25">
      <c r="A13" s="26"/>
      <c r="B13" s="26"/>
      <c r="C13" s="26"/>
      <c r="D13" s="26"/>
      <c r="E13" s="26"/>
      <c r="F13" s="44"/>
      <c r="G13" s="44"/>
      <c r="H13" s="48" t="str">
        <f t="shared" si="0"/>
        <v/>
      </c>
      <c r="I13" s="26"/>
      <c r="J13" s="27"/>
      <c r="K13" s="27"/>
      <c r="L13" s="25" t="str">
        <f ca="1">IF(E13="","",IF(E13="Perpetua","Perpetua",IF(K13="","Sin fecha",IF(K13&lt;TODAY(),"Vencida",IF(K13-TODAY()&lt;=Listas!$T$2,"Por vencer","Vigente")))))</f>
        <v/>
      </c>
      <c r="M13" s="28"/>
      <c r="N13" s="26"/>
      <c r="O13" s="26"/>
      <c r="P13" s="26"/>
      <c r="Q13" s="26"/>
    </row>
    <row r="14" spans="1:17" x14ac:dyDescent="0.25">
      <c r="A14" s="26"/>
      <c r="B14" s="26"/>
      <c r="C14" s="26"/>
      <c r="D14" s="26"/>
      <c r="E14" s="26"/>
      <c r="F14" s="44"/>
      <c r="G14" s="44"/>
      <c r="H14" s="48" t="str">
        <f t="shared" si="0"/>
        <v/>
      </c>
      <c r="I14" s="26"/>
      <c r="J14" s="27"/>
      <c r="K14" s="27"/>
      <c r="L14" s="25" t="str">
        <f ca="1">IF(E14="","",IF(E14="Perpetua","Perpetua",IF(K14="","Sin fecha",IF(K14&lt;TODAY(),"Vencida",IF(K14-TODAY()&lt;=Listas!$T$2,"Por vencer","Vigente")))))</f>
        <v/>
      </c>
      <c r="M14" s="28"/>
      <c r="N14" s="26"/>
      <c r="O14" s="26"/>
      <c r="P14" s="26"/>
      <c r="Q14" s="26"/>
    </row>
    <row r="15" spans="1:17" x14ac:dyDescent="0.25">
      <c r="A15" s="26"/>
      <c r="B15" s="26"/>
      <c r="C15" s="26"/>
      <c r="D15" s="26"/>
      <c r="E15" s="26"/>
      <c r="F15" s="44"/>
      <c r="G15" s="44"/>
      <c r="H15" s="48" t="str">
        <f t="shared" si="0"/>
        <v/>
      </c>
      <c r="I15" s="26"/>
      <c r="J15" s="27"/>
      <c r="K15" s="27"/>
      <c r="L15" s="25" t="str">
        <f ca="1">IF(E15="","",IF(E15="Perpetua","Perpetua",IF(K15="","Sin fecha",IF(K15&lt;TODAY(),"Vencida",IF(K15-TODAY()&lt;=Listas!$T$2,"Por vencer","Vigente")))))</f>
        <v/>
      </c>
      <c r="M15" s="28"/>
      <c r="N15" s="26"/>
      <c r="O15" s="26"/>
      <c r="P15" s="26"/>
      <c r="Q15" s="26"/>
    </row>
    <row r="16" spans="1:17" x14ac:dyDescent="0.25">
      <c r="A16" s="26"/>
      <c r="B16" s="26"/>
      <c r="C16" s="26"/>
      <c r="D16" s="26"/>
      <c r="E16" s="26"/>
      <c r="F16" s="44"/>
      <c r="G16" s="44"/>
      <c r="H16" s="48" t="str">
        <f t="shared" si="0"/>
        <v/>
      </c>
      <c r="I16" s="26"/>
      <c r="J16" s="27"/>
      <c r="K16" s="27"/>
      <c r="L16" s="25" t="str">
        <f ca="1">IF(E16="","",IF(E16="Perpetua","Perpetua",IF(K16="","Sin fecha",IF(K16&lt;TODAY(),"Vencida",IF(K16-TODAY()&lt;=Listas!$T$2,"Por vencer","Vigente")))))</f>
        <v/>
      </c>
      <c r="M16" s="28"/>
      <c r="N16" s="26"/>
      <c r="O16" s="26"/>
      <c r="P16" s="26"/>
      <c r="Q16" s="26"/>
    </row>
    <row r="17" spans="1:17" x14ac:dyDescent="0.25">
      <c r="A17" s="26"/>
      <c r="B17" s="26"/>
      <c r="C17" s="26"/>
      <c r="D17" s="26"/>
      <c r="E17" s="26"/>
      <c r="F17" s="44"/>
      <c r="G17" s="44"/>
      <c r="H17" s="48" t="str">
        <f t="shared" si="0"/>
        <v/>
      </c>
      <c r="I17" s="26"/>
      <c r="J17" s="27"/>
      <c r="K17" s="27"/>
      <c r="L17" s="25" t="str">
        <f ca="1">IF(E17="","",IF(E17="Perpetua","Perpetua",IF(K17="","Sin fecha",IF(K17&lt;TODAY(),"Vencida",IF(K17-TODAY()&lt;=Listas!$T$2,"Por vencer","Vigente")))))</f>
        <v/>
      </c>
      <c r="M17" s="28"/>
      <c r="N17" s="26"/>
      <c r="O17" s="26"/>
      <c r="P17" s="26"/>
      <c r="Q17" s="26"/>
    </row>
    <row r="18" spans="1:17" x14ac:dyDescent="0.25">
      <c r="A18" s="26"/>
      <c r="B18" s="26"/>
      <c r="C18" s="26"/>
      <c r="D18" s="26"/>
      <c r="E18" s="26"/>
      <c r="F18" s="44"/>
      <c r="G18" s="44"/>
      <c r="H18" s="48" t="str">
        <f t="shared" si="0"/>
        <v/>
      </c>
      <c r="I18" s="26"/>
      <c r="J18" s="27"/>
      <c r="K18" s="27"/>
      <c r="L18" s="25" t="str">
        <f ca="1">IF(E18="","",IF(E18="Perpetua","Perpetua",IF(K18="","Sin fecha",IF(K18&lt;TODAY(),"Vencida",IF(K18-TODAY()&lt;=Listas!$T$2,"Por vencer","Vigente")))))</f>
        <v/>
      </c>
      <c r="M18" s="28"/>
      <c r="N18" s="26"/>
      <c r="O18" s="26"/>
      <c r="P18" s="26"/>
      <c r="Q18" s="26"/>
    </row>
    <row r="19" spans="1:17" x14ac:dyDescent="0.25">
      <c r="A19" s="26"/>
      <c r="B19" s="26"/>
      <c r="C19" s="26"/>
      <c r="D19" s="26"/>
      <c r="E19" s="26"/>
      <c r="F19" s="44"/>
      <c r="G19" s="44"/>
      <c r="H19" s="48" t="str">
        <f t="shared" si="0"/>
        <v/>
      </c>
      <c r="I19" s="26"/>
      <c r="J19" s="27"/>
      <c r="K19" s="27"/>
      <c r="L19" s="25" t="str">
        <f ca="1">IF(E19="","",IF(E19="Perpetua","Perpetua",IF(K19="","Sin fecha",IF(K19&lt;TODAY(),"Vencida",IF(K19-TODAY()&lt;=Listas!$T$2,"Por vencer","Vigente")))))</f>
        <v/>
      </c>
      <c r="M19" s="28"/>
      <c r="N19" s="26"/>
      <c r="O19" s="26"/>
      <c r="P19" s="26"/>
      <c r="Q19" s="26"/>
    </row>
    <row r="20" spans="1:17" x14ac:dyDescent="0.25">
      <c r="A20" s="26"/>
      <c r="B20" s="26"/>
      <c r="C20" s="26"/>
      <c r="D20" s="26"/>
      <c r="E20" s="26"/>
      <c r="F20" s="44"/>
      <c r="G20" s="44"/>
      <c r="H20" s="48" t="str">
        <f t="shared" si="0"/>
        <v/>
      </c>
      <c r="I20" s="26"/>
      <c r="J20" s="27"/>
      <c r="K20" s="27"/>
      <c r="L20" s="25" t="str">
        <f ca="1">IF(E20="","",IF(E20="Perpetua","Perpetua",IF(K20="","Sin fecha",IF(K20&lt;TODAY(),"Vencida",IF(K20-TODAY()&lt;=Listas!$T$2,"Por vencer","Vigente")))))</f>
        <v/>
      </c>
      <c r="M20" s="28"/>
      <c r="N20" s="26"/>
      <c r="O20" s="26"/>
      <c r="P20" s="26"/>
      <c r="Q20" s="26"/>
    </row>
    <row r="21" spans="1:17" x14ac:dyDescent="0.25">
      <c r="A21" s="26"/>
      <c r="B21" s="26"/>
      <c r="C21" s="26"/>
      <c r="D21" s="26"/>
      <c r="E21" s="26"/>
      <c r="F21" s="44"/>
      <c r="G21" s="44"/>
      <c r="H21" s="48" t="str">
        <f t="shared" si="0"/>
        <v/>
      </c>
      <c r="I21" s="26"/>
      <c r="J21" s="27"/>
      <c r="K21" s="27"/>
      <c r="L21" s="25" t="str">
        <f ca="1">IF(E21="","",IF(E21="Perpetua","Perpetua",IF(K21="","Sin fecha",IF(K21&lt;TODAY(),"Vencida",IF(K21-TODAY()&lt;=Listas!$T$2,"Por vencer","Vigente")))))</f>
        <v/>
      </c>
      <c r="M21" s="28"/>
      <c r="N21" s="26"/>
      <c r="O21" s="26"/>
      <c r="P21" s="26"/>
      <c r="Q21" s="26"/>
    </row>
    <row r="22" spans="1:17" x14ac:dyDescent="0.25">
      <c r="A22" s="26"/>
      <c r="B22" s="26"/>
      <c r="C22" s="26"/>
      <c r="D22" s="26"/>
      <c r="E22" s="26"/>
      <c r="F22" s="44"/>
      <c r="G22" s="44"/>
      <c r="H22" s="48" t="str">
        <f t="shared" si="0"/>
        <v/>
      </c>
      <c r="I22" s="26"/>
      <c r="J22" s="27"/>
      <c r="K22" s="27"/>
      <c r="L22" s="25" t="str">
        <f ca="1">IF(E22="","",IF(E22="Perpetua","Perpetua",IF(K22="","Sin fecha",IF(K22&lt;TODAY(),"Vencida",IF(K22-TODAY()&lt;=Listas!$T$2,"Por vencer","Vigente")))))</f>
        <v/>
      </c>
      <c r="M22" s="28"/>
      <c r="N22" s="26"/>
      <c r="O22" s="26"/>
      <c r="P22" s="26"/>
      <c r="Q22" s="26"/>
    </row>
    <row r="23" spans="1:17" x14ac:dyDescent="0.25">
      <c r="A23" s="26"/>
      <c r="B23" s="26"/>
      <c r="C23" s="26"/>
      <c r="D23" s="26"/>
      <c r="E23" s="26"/>
      <c r="F23" s="44"/>
      <c r="G23" s="44"/>
      <c r="H23" s="48" t="str">
        <f t="shared" si="0"/>
        <v/>
      </c>
      <c r="I23" s="26"/>
      <c r="J23" s="27"/>
      <c r="K23" s="27"/>
      <c r="L23" s="25" t="str">
        <f ca="1">IF(E23="","",IF(E23="Perpetua","Perpetua",IF(K23="","Sin fecha",IF(K23&lt;TODAY(),"Vencida",IF(K23-TODAY()&lt;=Listas!$T$2,"Por vencer","Vigente")))))</f>
        <v/>
      </c>
      <c r="M23" s="28"/>
      <c r="N23" s="26"/>
      <c r="O23" s="26"/>
      <c r="P23" s="26"/>
      <c r="Q23" s="26"/>
    </row>
    <row r="24" spans="1:17" x14ac:dyDescent="0.25">
      <c r="A24" s="26"/>
      <c r="B24" s="26"/>
      <c r="C24" s="26"/>
      <c r="D24" s="26"/>
      <c r="E24" s="26"/>
      <c r="F24" s="44"/>
      <c r="G24" s="44"/>
      <c r="H24" s="48" t="str">
        <f t="shared" si="0"/>
        <v/>
      </c>
      <c r="I24" s="26"/>
      <c r="J24" s="27"/>
      <c r="K24" s="27"/>
      <c r="L24" s="25" t="str">
        <f ca="1">IF(E24="","",IF(E24="Perpetua","Perpetua",IF(K24="","Sin fecha",IF(K24&lt;TODAY(),"Vencida",IF(K24-TODAY()&lt;=Listas!$T$2,"Por vencer","Vigente")))))</f>
        <v/>
      </c>
      <c r="M24" s="28"/>
      <c r="N24" s="26"/>
      <c r="O24" s="26"/>
      <c r="P24" s="26"/>
      <c r="Q24" s="26"/>
    </row>
    <row r="25" spans="1:17" x14ac:dyDescent="0.25">
      <c r="A25" s="26"/>
      <c r="B25" s="26"/>
      <c r="C25" s="26"/>
      <c r="D25" s="26"/>
      <c r="E25" s="26"/>
      <c r="F25" s="44"/>
      <c r="G25" s="44"/>
      <c r="H25" s="48" t="str">
        <f t="shared" si="0"/>
        <v/>
      </c>
      <c r="I25" s="26"/>
      <c r="J25" s="27"/>
      <c r="K25" s="27"/>
      <c r="L25" s="25" t="str">
        <f ca="1">IF(E25="","",IF(E25="Perpetua","Perpetua",IF(K25="","Sin fecha",IF(K25&lt;TODAY(),"Vencida",IF(K25-TODAY()&lt;=Listas!$T$2,"Por vencer","Vigente")))))</f>
        <v/>
      </c>
      <c r="M25" s="28"/>
      <c r="N25" s="26"/>
      <c r="O25" s="26"/>
      <c r="P25" s="26"/>
      <c r="Q25" s="26"/>
    </row>
    <row r="26" spans="1:17" x14ac:dyDescent="0.25">
      <c r="A26" s="26"/>
      <c r="B26" s="26"/>
      <c r="C26" s="26"/>
      <c r="D26" s="26"/>
      <c r="E26" s="26"/>
      <c r="F26" s="44"/>
      <c r="G26" s="44"/>
      <c r="H26" s="48" t="str">
        <f t="shared" si="0"/>
        <v/>
      </c>
      <c r="I26" s="26"/>
      <c r="J26" s="27"/>
      <c r="K26" s="27"/>
      <c r="L26" s="25" t="str">
        <f ca="1">IF(E26="","",IF(E26="Perpetua","Perpetua",IF(K26="","Sin fecha",IF(K26&lt;TODAY(),"Vencida",IF(K26-TODAY()&lt;=Listas!$T$2,"Por vencer","Vigente")))))</f>
        <v/>
      </c>
      <c r="M26" s="28"/>
      <c r="N26" s="26"/>
      <c r="O26" s="26"/>
      <c r="P26" s="26"/>
      <c r="Q26" s="26"/>
    </row>
    <row r="27" spans="1:17" x14ac:dyDescent="0.25">
      <c r="A27" s="26"/>
      <c r="B27" s="26"/>
      <c r="C27" s="26"/>
      <c r="D27" s="26"/>
      <c r="E27" s="26"/>
      <c r="F27" s="44"/>
      <c r="G27" s="44"/>
      <c r="H27" s="48" t="str">
        <f t="shared" si="0"/>
        <v/>
      </c>
      <c r="I27" s="26"/>
      <c r="J27" s="27"/>
      <c r="K27" s="27"/>
      <c r="L27" s="25" t="str">
        <f ca="1">IF(E27="","",IF(E27="Perpetua","Perpetua",IF(K27="","Sin fecha",IF(K27&lt;TODAY(),"Vencida",IF(K27-TODAY()&lt;=Listas!$T$2,"Por vencer","Vigente")))))</f>
        <v/>
      </c>
      <c r="M27" s="28"/>
      <c r="N27" s="26"/>
      <c r="O27" s="26"/>
      <c r="P27" s="26"/>
      <c r="Q27" s="26"/>
    </row>
    <row r="28" spans="1:17" x14ac:dyDescent="0.25">
      <c r="A28" s="26"/>
      <c r="B28" s="26"/>
      <c r="C28" s="26"/>
      <c r="D28" s="26"/>
      <c r="E28" s="26"/>
      <c r="F28" s="44"/>
      <c r="G28" s="44"/>
      <c r="H28" s="48" t="str">
        <f t="shared" si="0"/>
        <v/>
      </c>
      <c r="I28" s="26"/>
      <c r="J28" s="27"/>
      <c r="K28" s="27"/>
      <c r="L28" s="25" t="str">
        <f ca="1">IF(E28="","",IF(E28="Perpetua","Perpetua",IF(K28="","Sin fecha",IF(K28&lt;TODAY(),"Vencida",IF(K28-TODAY()&lt;=Listas!$T$2,"Por vencer","Vigente")))))</f>
        <v/>
      </c>
      <c r="M28" s="28"/>
      <c r="N28" s="26"/>
      <c r="O28" s="26"/>
      <c r="P28" s="26"/>
      <c r="Q28" s="26"/>
    </row>
    <row r="29" spans="1:17" x14ac:dyDescent="0.25">
      <c r="A29" s="26"/>
      <c r="B29" s="26"/>
      <c r="C29" s="26"/>
      <c r="D29" s="26"/>
      <c r="E29" s="26"/>
      <c r="F29" s="44"/>
      <c r="G29" s="44"/>
      <c r="H29" s="48" t="str">
        <f t="shared" si="0"/>
        <v/>
      </c>
      <c r="I29" s="26"/>
      <c r="J29" s="27"/>
      <c r="K29" s="27"/>
      <c r="L29" s="25" t="str">
        <f ca="1">IF(E29="","",IF(E29="Perpetua","Perpetua",IF(K29="","Sin fecha",IF(K29&lt;TODAY(),"Vencida",IF(K29-TODAY()&lt;=Listas!$T$2,"Por vencer","Vigente")))))</f>
        <v/>
      </c>
      <c r="M29" s="28"/>
      <c r="N29" s="26"/>
      <c r="O29" s="26"/>
      <c r="P29" s="26"/>
      <c r="Q29" s="26"/>
    </row>
    <row r="30" spans="1:17" x14ac:dyDescent="0.25">
      <c r="A30" s="26"/>
      <c r="B30" s="26"/>
      <c r="C30" s="26"/>
      <c r="D30" s="26"/>
      <c r="E30" s="26"/>
      <c r="F30" s="44"/>
      <c r="G30" s="44"/>
      <c r="H30" s="48" t="str">
        <f t="shared" si="0"/>
        <v/>
      </c>
      <c r="I30" s="26"/>
      <c r="J30" s="27"/>
      <c r="K30" s="27"/>
      <c r="L30" s="25" t="str">
        <f ca="1">IF(E30="","",IF(E30="Perpetua","Perpetua",IF(K30="","Sin fecha",IF(K30&lt;TODAY(),"Vencida",IF(K30-TODAY()&lt;=Listas!$T$2,"Por vencer","Vigente")))))</f>
        <v/>
      </c>
      <c r="M30" s="28"/>
      <c r="N30" s="26"/>
      <c r="O30" s="26"/>
      <c r="P30" s="26"/>
      <c r="Q30" s="26"/>
    </row>
    <row r="31" spans="1:17" x14ac:dyDescent="0.25">
      <c r="A31" s="26"/>
      <c r="B31" s="26"/>
      <c r="C31" s="26"/>
      <c r="D31" s="26"/>
      <c r="E31" s="26"/>
      <c r="F31" s="44"/>
      <c r="G31" s="44"/>
      <c r="H31" s="48" t="str">
        <f t="shared" si="0"/>
        <v/>
      </c>
      <c r="I31" s="26"/>
      <c r="J31" s="27"/>
      <c r="K31" s="27"/>
      <c r="L31" s="25" t="str">
        <f ca="1">IF(E31="","",IF(E31="Perpetua","Perpetua",IF(K31="","Sin fecha",IF(K31&lt;TODAY(),"Vencida",IF(K31-TODAY()&lt;=Listas!$T$2,"Por vencer","Vigente")))))</f>
        <v/>
      </c>
      <c r="M31" s="28"/>
      <c r="N31" s="26"/>
      <c r="O31" s="26"/>
      <c r="P31" s="26"/>
      <c r="Q31" s="26"/>
    </row>
    <row r="32" spans="1:17" x14ac:dyDescent="0.25">
      <c r="A32" s="26"/>
      <c r="B32" s="26"/>
      <c r="C32" s="26"/>
      <c r="D32" s="26"/>
      <c r="E32" s="26"/>
      <c r="F32" s="44"/>
      <c r="G32" s="44"/>
      <c r="H32" s="48" t="str">
        <f t="shared" si="0"/>
        <v/>
      </c>
      <c r="I32" s="26"/>
      <c r="J32" s="27"/>
      <c r="K32" s="27"/>
      <c r="L32" s="25" t="str">
        <f ca="1">IF(E32="","",IF(E32="Perpetua","Perpetua",IF(K32="","Sin fecha",IF(K32&lt;TODAY(),"Vencida",IF(K32-TODAY()&lt;=Listas!$T$2,"Por vencer","Vigente")))))</f>
        <v/>
      </c>
      <c r="M32" s="28"/>
      <c r="N32" s="26"/>
      <c r="O32" s="26"/>
      <c r="P32" s="26"/>
      <c r="Q32" s="26"/>
    </row>
    <row r="33" spans="1:17" x14ac:dyDescent="0.25">
      <c r="A33" s="26"/>
      <c r="B33" s="26"/>
      <c r="C33" s="26"/>
      <c r="D33" s="26"/>
      <c r="E33" s="26"/>
      <c r="F33" s="44"/>
      <c r="G33" s="44"/>
      <c r="H33" s="48" t="str">
        <f t="shared" si="0"/>
        <v/>
      </c>
      <c r="I33" s="26"/>
      <c r="J33" s="27"/>
      <c r="K33" s="27"/>
      <c r="L33" s="25" t="str">
        <f ca="1">IF(E33="","",IF(E33="Perpetua","Perpetua",IF(K33="","Sin fecha",IF(K33&lt;TODAY(),"Vencida",IF(K33-TODAY()&lt;=Listas!$T$2,"Por vencer","Vigente")))))</f>
        <v/>
      </c>
      <c r="M33" s="28"/>
      <c r="N33" s="26"/>
      <c r="O33" s="26"/>
      <c r="P33" s="26"/>
      <c r="Q33" s="26"/>
    </row>
    <row r="34" spans="1:17" x14ac:dyDescent="0.25">
      <c r="A34" s="26"/>
      <c r="B34" s="26"/>
      <c r="C34" s="26"/>
      <c r="D34" s="26"/>
      <c r="E34" s="26"/>
      <c r="F34" s="44"/>
      <c r="G34" s="44"/>
      <c r="H34" s="48" t="str">
        <f t="shared" si="0"/>
        <v/>
      </c>
      <c r="I34" s="26"/>
      <c r="J34" s="27"/>
      <c r="K34" s="27"/>
      <c r="L34" s="25" t="str">
        <f ca="1">IF(E34="","",IF(E34="Perpetua","Perpetua",IF(K34="","Sin fecha",IF(K34&lt;TODAY(),"Vencida",IF(K34-TODAY()&lt;=Listas!$T$2,"Por vencer","Vigente")))))</f>
        <v/>
      </c>
      <c r="M34" s="28"/>
      <c r="N34" s="26"/>
      <c r="O34" s="26"/>
      <c r="P34" s="26"/>
      <c r="Q34" s="26"/>
    </row>
    <row r="35" spans="1:17" x14ac:dyDescent="0.25">
      <c r="A35" s="26"/>
      <c r="B35" s="26"/>
      <c r="C35" s="26"/>
      <c r="D35" s="26"/>
      <c r="E35" s="26"/>
      <c r="F35" s="44"/>
      <c r="G35" s="44"/>
      <c r="H35" s="48" t="str">
        <f t="shared" si="0"/>
        <v/>
      </c>
      <c r="I35" s="26"/>
      <c r="J35" s="27"/>
      <c r="K35" s="27"/>
      <c r="L35" s="25" t="str">
        <f ca="1">IF(E35="","",IF(E35="Perpetua","Perpetua",IF(K35="","Sin fecha",IF(K35&lt;TODAY(),"Vencida",IF(K35-TODAY()&lt;=Listas!$T$2,"Por vencer","Vigente")))))</f>
        <v/>
      </c>
      <c r="M35" s="28"/>
      <c r="N35" s="26"/>
      <c r="O35" s="26"/>
      <c r="P35" s="26"/>
      <c r="Q35" s="26"/>
    </row>
    <row r="36" spans="1:17" x14ac:dyDescent="0.25">
      <c r="A36" s="26"/>
      <c r="B36" s="26"/>
      <c r="C36" s="26"/>
      <c r="D36" s="26"/>
      <c r="E36" s="26"/>
      <c r="F36" s="44"/>
      <c r="G36" s="44"/>
      <c r="H36" s="48" t="str">
        <f t="shared" si="0"/>
        <v/>
      </c>
      <c r="I36" s="26"/>
      <c r="J36" s="27"/>
      <c r="K36" s="27"/>
      <c r="L36" s="25" t="str">
        <f ca="1">IF(E36="","",IF(E36="Perpetua","Perpetua",IF(K36="","Sin fecha",IF(K36&lt;TODAY(),"Vencida",IF(K36-TODAY()&lt;=Listas!$T$2,"Por vencer","Vigente")))))</f>
        <v/>
      </c>
      <c r="M36" s="28"/>
      <c r="N36" s="26"/>
      <c r="O36" s="26"/>
      <c r="P36" s="26"/>
      <c r="Q36" s="26"/>
    </row>
    <row r="37" spans="1:17" x14ac:dyDescent="0.25">
      <c r="A37" s="26"/>
      <c r="B37" s="26"/>
      <c r="C37" s="26"/>
      <c r="D37" s="26"/>
      <c r="E37" s="26"/>
      <c r="F37" s="44"/>
      <c r="G37" s="44"/>
      <c r="H37" s="48" t="str">
        <f t="shared" ref="H37:H68" si="1">IF(F37="","",F37-G37)</f>
        <v/>
      </c>
      <c r="I37" s="26"/>
      <c r="J37" s="27"/>
      <c r="K37" s="27"/>
      <c r="L37" s="25" t="str">
        <f ca="1">IF(E37="","",IF(E37="Perpetua","Perpetua",IF(K37="","Sin fecha",IF(K37&lt;TODAY(),"Vencida",IF(K37-TODAY()&lt;=Listas!$T$2,"Por vencer","Vigente")))))</f>
        <v/>
      </c>
      <c r="M37" s="28"/>
      <c r="N37" s="26"/>
      <c r="O37" s="26"/>
      <c r="P37" s="26"/>
      <c r="Q37" s="26"/>
    </row>
    <row r="38" spans="1:17" x14ac:dyDescent="0.25">
      <c r="A38" s="26"/>
      <c r="B38" s="26"/>
      <c r="C38" s="26"/>
      <c r="D38" s="26"/>
      <c r="E38" s="26"/>
      <c r="F38" s="44"/>
      <c r="G38" s="44"/>
      <c r="H38" s="48" t="str">
        <f t="shared" si="1"/>
        <v/>
      </c>
      <c r="I38" s="26"/>
      <c r="J38" s="27"/>
      <c r="K38" s="27"/>
      <c r="L38" s="25" t="str">
        <f ca="1">IF(E38="","",IF(E38="Perpetua","Perpetua",IF(K38="","Sin fecha",IF(K38&lt;TODAY(),"Vencida",IF(K38-TODAY()&lt;=Listas!$T$2,"Por vencer","Vigente")))))</f>
        <v/>
      </c>
      <c r="M38" s="28"/>
      <c r="N38" s="26"/>
      <c r="O38" s="26"/>
      <c r="P38" s="26"/>
      <c r="Q38" s="26"/>
    </row>
    <row r="39" spans="1:17" x14ac:dyDescent="0.25">
      <c r="A39" s="26"/>
      <c r="B39" s="26"/>
      <c r="C39" s="26"/>
      <c r="D39" s="26"/>
      <c r="E39" s="26"/>
      <c r="F39" s="44"/>
      <c r="G39" s="44"/>
      <c r="H39" s="48" t="str">
        <f t="shared" si="1"/>
        <v/>
      </c>
      <c r="I39" s="26"/>
      <c r="J39" s="27"/>
      <c r="K39" s="27"/>
      <c r="L39" s="25" t="str">
        <f ca="1">IF(E39="","",IF(E39="Perpetua","Perpetua",IF(K39="","Sin fecha",IF(K39&lt;TODAY(),"Vencida",IF(K39-TODAY()&lt;=Listas!$T$2,"Por vencer","Vigente")))))</f>
        <v/>
      </c>
      <c r="M39" s="28"/>
      <c r="N39" s="26"/>
      <c r="O39" s="26"/>
      <c r="P39" s="26"/>
      <c r="Q39" s="26"/>
    </row>
    <row r="40" spans="1:17" x14ac:dyDescent="0.25">
      <c r="A40" s="26"/>
      <c r="B40" s="26"/>
      <c r="C40" s="26"/>
      <c r="D40" s="26"/>
      <c r="E40" s="26"/>
      <c r="F40" s="44"/>
      <c r="G40" s="44"/>
      <c r="H40" s="48" t="str">
        <f t="shared" si="1"/>
        <v/>
      </c>
      <c r="I40" s="26"/>
      <c r="J40" s="27"/>
      <c r="K40" s="27"/>
      <c r="L40" s="25" t="str">
        <f ca="1">IF(E40="","",IF(E40="Perpetua","Perpetua",IF(K40="","Sin fecha",IF(K40&lt;TODAY(),"Vencida",IF(K40-TODAY()&lt;=Listas!$T$2,"Por vencer","Vigente")))))</f>
        <v/>
      </c>
      <c r="M40" s="28"/>
      <c r="N40" s="26"/>
      <c r="O40" s="26"/>
      <c r="P40" s="26"/>
      <c r="Q40" s="26"/>
    </row>
    <row r="41" spans="1:17" x14ac:dyDescent="0.25">
      <c r="A41" s="26"/>
      <c r="B41" s="26"/>
      <c r="C41" s="26"/>
      <c r="D41" s="26"/>
      <c r="E41" s="26"/>
      <c r="F41" s="44"/>
      <c r="G41" s="44"/>
      <c r="H41" s="48" t="str">
        <f t="shared" si="1"/>
        <v/>
      </c>
      <c r="I41" s="26"/>
      <c r="J41" s="27"/>
      <c r="K41" s="27"/>
      <c r="L41" s="25" t="str">
        <f ca="1">IF(E41="","",IF(E41="Perpetua","Perpetua",IF(K41="","Sin fecha",IF(K41&lt;TODAY(),"Vencida",IF(K41-TODAY()&lt;=Listas!$T$2,"Por vencer","Vigente")))))</f>
        <v/>
      </c>
      <c r="M41" s="28"/>
      <c r="N41" s="26"/>
      <c r="O41" s="26"/>
      <c r="P41" s="26"/>
      <c r="Q41" s="26"/>
    </row>
    <row r="42" spans="1:17" x14ac:dyDescent="0.25">
      <c r="A42" s="26"/>
      <c r="B42" s="26"/>
      <c r="C42" s="26"/>
      <c r="D42" s="26"/>
      <c r="E42" s="26"/>
      <c r="F42" s="44"/>
      <c r="G42" s="44"/>
      <c r="H42" s="48" t="str">
        <f t="shared" si="1"/>
        <v/>
      </c>
      <c r="I42" s="26"/>
      <c r="J42" s="27"/>
      <c r="K42" s="27"/>
      <c r="L42" s="25" t="str">
        <f ca="1">IF(E42="","",IF(E42="Perpetua","Perpetua",IF(K42="","Sin fecha",IF(K42&lt;TODAY(),"Vencida",IF(K42-TODAY()&lt;=Listas!$T$2,"Por vencer","Vigente")))))</f>
        <v/>
      </c>
      <c r="M42" s="28"/>
      <c r="N42" s="26"/>
      <c r="O42" s="26"/>
      <c r="P42" s="26"/>
      <c r="Q42" s="26"/>
    </row>
    <row r="43" spans="1:17" x14ac:dyDescent="0.25">
      <c r="A43" s="26"/>
      <c r="B43" s="26"/>
      <c r="C43" s="26"/>
      <c r="D43" s="26"/>
      <c r="E43" s="26"/>
      <c r="F43" s="44"/>
      <c r="G43" s="44"/>
      <c r="H43" s="48" t="str">
        <f t="shared" si="1"/>
        <v/>
      </c>
      <c r="I43" s="26"/>
      <c r="J43" s="27"/>
      <c r="K43" s="27"/>
      <c r="L43" s="25" t="str">
        <f ca="1">IF(E43="","",IF(E43="Perpetua","Perpetua",IF(K43="","Sin fecha",IF(K43&lt;TODAY(),"Vencida",IF(K43-TODAY()&lt;=Listas!$T$2,"Por vencer","Vigente")))))</f>
        <v/>
      </c>
      <c r="M43" s="28"/>
      <c r="N43" s="26"/>
      <c r="O43" s="26"/>
      <c r="P43" s="26"/>
      <c r="Q43" s="26"/>
    </row>
    <row r="44" spans="1:17" x14ac:dyDescent="0.25">
      <c r="A44" s="26"/>
      <c r="B44" s="26"/>
      <c r="C44" s="26"/>
      <c r="D44" s="26"/>
      <c r="E44" s="26"/>
      <c r="F44" s="44"/>
      <c r="G44" s="44"/>
      <c r="H44" s="48" t="str">
        <f t="shared" si="1"/>
        <v/>
      </c>
      <c r="I44" s="26"/>
      <c r="J44" s="27"/>
      <c r="K44" s="27"/>
      <c r="L44" s="25" t="str">
        <f ca="1">IF(E44="","",IF(E44="Perpetua","Perpetua",IF(K44="","Sin fecha",IF(K44&lt;TODAY(),"Vencida",IF(K44-TODAY()&lt;=Listas!$T$2,"Por vencer","Vigente")))))</f>
        <v/>
      </c>
      <c r="M44" s="28"/>
      <c r="N44" s="26"/>
      <c r="O44" s="26"/>
      <c r="P44" s="26"/>
      <c r="Q44" s="26"/>
    </row>
    <row r="45" spans="1:17" x14ac:dyDescent="0.25">
      <c r="A45" s="26"/>
      <c r="B45" s="26"/>
      <c r="C45" s="26"/>
      <c r="D45" s="26"/>
      <c r="E45" s="26"/>
      <c r="F45" s="44"/>
      <c r="G45" s="44"/>
      <c r="H45" s="48" t="str">
        <f t="shared" si="1"/>
        <v/>
      </c>
      <c r="I45" s="26"/>
      <c r="J45" s="27"/>
      <c r="K45" s="27"/>
      <c r="L45" s="25" t="str">
        <f ca="1">IF(E45="","",IF(E45="Perpetua","Perpetua",IF(K45="","Sin fecha",IF(K45&lt;TODAY(),"Vencida",IF(K45-TODAY()&lt;=Listas!$T$2,"Por vencer","Vigente")))))</f>
        <v/>
      </c>
      <c r="M45" s="28"/>
      <c r="N45" s="26"/>
      <c r="O45" s="26"/>
      <c r="P45" s="26"/>
      <c r="Q45" s="26"/>
    </row>
    <row r="46" spans="1:17" x14ac:dyDescent="0.25">
      <c r="A46" s="26"/>
      <c r="B46" s="26"/>
      <c r="C46" s="26"/>
      <c r="D46" s="26"/>
      <c r="E46" s="26"/>
      <c r="F46" s="44"/>
      <c r="G46" s="44"/>
      <c r="H46" s="48" t="str">
        <f t="shared" si="1"/>
        <v/>
      </c>
      <c r="I46" s="26"/>
      <c r="J46" s="27"/>
      <c r="K46" s="27"/>
      <c r="L46" s="25" t="str">
        <f ca="1">IF(E46="","",IF(E46="Perpetua","Perpetua",IF(K46="","Sin fecha",IF(K46&lt;TODAY(),"Vencida",IF(K46-TODAY()&lt;=Listas!$T$2,"Por vencer","Vigente")))))</f>
        <v/>
      </c>
      <c r="M46" s="28"/>
      <c r="N46" s="26"/>
      <c r="O46" s="26"/>
      <c r="P46" s="26"/>
      <c r="Q46" s="26"/>
    </row>
    <row r="47" spans="1:17" x14ac:dyDescent="0.25">
      <c r="A47" s="26"/>
      <c r="B47" s="26"/>
      <c r="C47" s="26"/>
      <c r="D47" s="26"/>
      <c r="E47" s="26"/>
      <c r="F47" s="44"/>
      <c r="G47" s="44"/>
      <c r="H47" s="48" t="str">
        <f t="shared" si="1"/>
        <v/>
      </c>
      <c r="I47" s="26"/>
      <c r="J47" s="27"/>
      <c r="K47" s="27"/>
      <c r="L47" s="25" t="str">
        <f ca="1">IF(E47="","",IF(E47="Perpetua","Perpetua",IF(K47="","Sin fecha",IF(K47&lt;TODAY(),"Vencida",IF(K47-TODAY()&lt;=Listas!$T$2,"Por vencer","Vigente")))))</f>
        <v/>
      </c>
      <c r="M47" s="28"/>
      <c r="N47" s="26"/>
      <c r="O47" s="26"/>
      <c r="P47" s="26"/>
      <c r="Q47" s="26"/>
    </row>
    <row r="48" spans="1:17" x14ac:dyDescent="0.25">
      <c r="A48" s="26"/>
      <c r="B48" s="26"/>
      <c r="C48" s="26"/>
      <c r="D48" s="26"/>
      <c r="E48" s="26"/>
      <c r="F48" s="44"/>
      <c r="G48" s="44"/>
      <c r="H48" s="48" t="str">
        <f t="shared" si="1"/>
        <v/>
      </c>
      <c r="I48" s="26"/>
      <c r="J48" s="27"/>
      <c r="K48" s="27"/>
      <c r="L48" s="25" t="str">
        <f ca="1">IF(E48="","",IF(E48="Perpetua","Perpetua",IF(K48="","Sin fecha",IF(K48&lt;TODAY(),"Vencida",IF(K48-TODAY()&lt;=Listas!$T$2,"Por vencer","Vigente")))))</f>
        <v/>
      </c>
      <c r="M48" s="28"/>
      <c r="N48" s="26"/>
      <c r="O48" s="26"/>
      <c r="P48" s="26"/>
      <c r="Q48" s="26"/>
    </row>
    <row r="49" spans="1:17" x14ac:dyDescent="0.25">
      <c r="A49" s="26"/>
      <c r="B49" s="26"/>
      <c r="C49" s="26"/>
      <c r="D49" s="26"/>
      <c r="E49" s="26"/>
      <c r="F49" s="44"/>
      <c r="G49" s="44"/>
      <c r="H49" s="48" t="str">
        <f t="shared" si="1"/>
        <v/>
      </c>
      <c r="I49" s="26"/>
      <c r="J49" s="27"/>
      <c r="K49" s="27"/>
      <c r="L49" s="25" t="str">
        <f ca="1">IF(E49="","",IF(E49="Perpetua","Perpetua",IF(K49="","Sin fecha",IF(K49&lt;TODAY(),"Vencida",IF(K49-TODAY()&lt;=Listas!$T$2,"Por vencer","Vigente")))))</f>
        <v/>
      </c>
      <c r="M49" s="28"/>
      <c r="N49" s="26"/>
      <c r="O49" s="26"/>
      <c r="P49" s="26"/>
      <c r="Q49" s="26"/>
    </row>
    <row r="50" spans="1:17" x14ac:dyDescent="0.25">
      <c r="A50" s="26"/>
      <c r="B50" s="26"/>
      <c r="C50" s="26"/>
      <c r="D50" s="26"/>
      <c r="E50" s="26"/>
      <c r="F50" s="44"/>
      <c r="G50" s="44"/>
      <c r="H50" s="48" t="str">
        <f t="shared" si="1"/>
        <v/>
      </c>
      <c r="I50" s="26"/>
      <c r="J50" s="27"/>
      <c r="K50" s="27"/>
      <c r="L50" s="25" t="str">
        <f ca="1">IF(E50="","",IF(E50="Perpetua","Perpetua",IF(K50="","Sin fecha",IF(K50&lt;TODAY(),"Vencida",IF(K50-TODAY()&lt;=Listas!$T$2,"Por vencer","Vigente")))))</f>
        <v/>
      </c>
      <c r="M50" s="28"/>
      <c r="N50" s="26"/>
      <c r="O50" s="26"/>
      <c r="P50" s="26"/>
      <c r="Q50" s="26"/>
    </row>
    <row r="51" spans="1:17" x14ac:dyDescent="0.25">
      <c r="A51" s="26"/>
      <c r="B51" s="26"/>
      <c r="C51" s="26"/>
      <c r="D51" s="26"/>
      <c r="E51" s="26"/>
      <c r="F51" s="44"/>
      <c r="G51" s="44"/>
      <c r="H51" s="48" t="str">
        <f t="shared" si="1"/>
        <v/>
      </c>
      <c r="I51" s="26"/>
      <c r="J51" s="27"/>
      <c r="K51" s="27"/>
      <c r="L51" s="25" t="str">
        <f ca="1">IF(E51="","",IF(E51="Perpetua","Perpetua",IF(K51="","Sin fecha",IF(K51&lt;TODAY(),"Vencida",IF(K51-TODAY()&lt;=Listas!$T$2,"Por vencer","Vigente")))))</f>
        <v/>
      </c>
      <c r="M51" s="28"/>
      <c r="N51" s="26"/>
      <c r="O51" s="26"/>
      <c r="P51" s="26"/>
      <c r="Q51" s="26"/>
    </row>
    <row r="52" spans="1:17" x14ac:dyDescent="0.25">
      <c r="A52" s="26"/>
      <c r="B52" s="26"/>
      <c r="C52" s="26"/>
      <c r="D52" s="26"/>
      <c r="E52" s="26"/>
      <c r="F52" s="44"/>
      <c r="G52" s="44"/>
      <c r="H52" s="48" t="str">
        <f t="shared" si="1"/>
        <v/>
      </c>
      <c r="I52" s="26"/>
      <c r="J52" s="27"/>
      <c r="K52" s="27"/>
      <c r="L52" s="25" t="str">
        <f ca="1">IF(E52="","",IF(E52="Perpetua","Perpetua",IF(K52="","Sin fecha",IF(K52&lt;TODAY(),"Vencida",IF(K52-TODAY()&lt;=Listas!$T$2,"Por vencer","Vigente")))))</f>
        <v/>
      </c>
      <c r="M52" s="28"/>
      <c r="N52" s="26"/>
      <c r="O52" s="26"/>
      <c r="P52" s="26"/>
      <c r="Q52" s="26"/>
    </row>
    <row r="53" spans="1:17" x14ac:dyDescent="0.25">
      <c r="A53" s="26"/>
      <c r="B53" s="26"/>
      <c r="C53" s="26"/>
      <c r="D53" s="26"/>
      <c r="E53" s="26"/>
      <c r="F53" s="44"/>
      <c r="G53" s="44"/>
      <c r="H53" s="48" t="str">
        <f t="shared" si="1"/>
        <v/>
      </c>
      <c r="I53" s="26"/>
      <c r="J53" s="27"/>
      <c r="K53" s="27"/>
      <c r="L53" s="25" t="str">
        <f ca="1">IF(E53="","",IF(E53="Perpetua","Perpetua",IF(K53="","Sin fecha",IF(K53&lt;TODAY(),"Vencida",IF(K53-TODAY()&lt;=Listas!$T$2,"Por vencer","Vigente")))))</f>
        <v/>
      </c>
      <c r="M53" s="28"/>
      <c r="N53" s="26"/>
      <c r="O53" s="26"/>
      <c r="P53" s="26"/>
      <c r="Q53" s="26"/>
    </row>
    <row r="54" spans="1:17" x14ac:dyDescent="0.25">
      <c r="A54" s="26"/>
      <c r="B54" s="26"/>
      <c r="C54" s="26"/>
      <c r="D54" s="26"/>
      <c r="E54" s="26"/>
      <c r="F54" s="44"/>
      <c r="G54" s="44"/>
      <c r="H54" s="48" t="str">
        <f t="shared" si="1"/>
        <v/>
      </c>
      <c r="I54" s="26"/>
      <c r="J54" s="27"/>
      <c r="K54" s="27"/>
      <c r="L54" s="25" t="str">
        <f ca="1">IF(E54="","",IF(E54="Perpetua","Perpetua",IF(K54="","Sin fecha",IF(K54&lt;TODAY(),"Vencida",IF(K54-TODAY()&lt;=Listas!$T$2,"Por vencer","Vigente")))))</f>
        <v/>
      </c>
      <c r="M54" s="28"/>
      <c r="N54" s="26"/>
      <c r="O54" s="26"/>
      <c r="P54" s="26"/>
      <c r="Q54" s="26"/>
    </row>
    <row r="55" spans="1:17" x14ac:dyDescent="0.25">
      <c r="A55" s="26"/>
      <c r="B55" s="26"/>
      <c r="C55" s="26"/>
      <c r="D55" s="26"/>
      <c r="E55" s="26"/>
      <c r="F55" s="44"/>
      <c r="G55" s="44"/>
      <c r="H55" s="48" t="str">
        <f t="shared" si="1"/>
        <v/>
      </c>
      <c r="I55" s="26"/>
      <c r="J55" s="27"/>
      <c r="K55" s="27"/>
      <c r="L55" s="25" t="str">
        <f ca="1">IF(E55="","",IF(E55="Perpetua","Perpetua",IF(K55="","Sin fecha",IF(K55&lt;TODAY(),"Vencida",IF(K55-TODAY()&lt;=Listas!$T$2,"Por vencer","Vigente")))))</f>
        <v/>
      </c>
      <c r="M55" s="28"/>
      <c r="N55" s="26"/>
      <c r="O55" s="26"/>
      <c r="P55" s="26"/>
      <c r="Q55" s="26"/>
    </row>
    <row r="56" spans="1:17" x14ac:dyDescent="0.25">
      <c r="A56" s="26"/>
      <c r="B56" s="26"/>
      <c r="C56" s="26"/>
      <c r="D56" s="26"/>
      <c r="E56" s="26"/>
      <c r="F56" s="44"/>
      <c r="G56" s="44"/>
      <c r="H56" s="48" t="str">
        <f t="shared" si="1"/>
        <v/>
      </c>
      <c r="I56" s="26"/>
      <c r="J56" s="27"/>
      <c r="K56" s="27"/>
      <c r="L56" s="25" t="str">
        <f ca="1">IF(E56="","",IF(E56="Perpetua","Perpetua",IF(K56="","Sin fecha",IF(K56&lt;TODAY(),"Vencida",IF(K56-TODAY()&lt;=Listas!$T$2,"Por vencer","Vigente")))))</f>
        <v/>
      </c>
      <c r="M56" s="28"/>
      <c r="N56" s="26"/>
      <c r="O56" s="26"/>
      <c r="P56" s="26"/>
      <c r="Q56" s="26"/>
    </row>
    <row r="57" spans="1:17" x14ac:dyDescent="0.25">
      <c r="A57" s="26"/>
      <c r="B57" s="26"/>
      <c r="C57" s="26"/>
      <c r="D57" s="26"/>
      <c r="E57" s="26"/>
      <c r="F57" s="44"/>
      <c r="G57" s="44"/>
      <c r="H57" s="48" t="str">
        <f t="shared" si="1"/>
        <v/>
      </c>
      <c r="I57" s="26"/>
      <c r="J57" s="27"/>
      <c r="K57" s="27"/>
      <c r="L57" s="25" t="str">
        <f ca="1">IF(E57="","",IF(E57="Perpetua","Perpetua",IF(K57="","Sin fecha",IF(K57&lt;TODAY(),"Vencida",IF(K57-TODAY()&lt;=Listas!$T$2,"Por vencer","Vigente")))))</f>
        <v/>
      </c>
      <c r="M57" s="28"/>
      <c r="N57" s="26"/>
      <c r="O57" s="26"/>
      <c r="P57" s="26"/>
      <c r="Q57" s="26"/>
    </row>
    <row r="58" spans="1:17" x14ac:dyDescent="0.25">
      <c r="A58" s="26"/>
      <c r="B58" s="26"/>
      <c r="C58" s="26"/>
      <c r="D58" s="26"/>
      <c r="E58" s="26"/>
      <c r="F58" s="44"/>
      <c r="G58" s="44"/>
      <c r="H58" s="48" t="str">
        <f t="shared" si="1"/>
        <v/>
      </c>
      <c r="I58" s="26"/>
      <c r="J58" s="27"/>
      <c r="K58" s="27"/>
      <c r="L58" s="25" t="str">
        <f ca="1">IF(E58="","",IF(E58="Perpetua","Perpetua",IF(K58="","Sin fecha",IF(K58&lt;TODAY(),"Vencida",IF(K58-TODAY()&lt;=Listas!$T$2,"Por vencer","Vigente")))))</f>
        <v/>
      </c>
      <c r="M58" s="28"/>
      <c r="N58" s="26"/>
      <c r="O58" s="26"/>
      <c r="P58" s="26"/>
      <c r="Q58" s="26"/>
    </row>
    <row r="59" spans="1:17" x14ac:dyDescent="0.25">
      <c r="A59" s="26"/>
      <c r="B59" s="26"/>
      <c r="C59" s="26"/>
      <c r="D59" s="26"/>
      <c r="E59" s="26"/>
      <c r="F59" s="44"/>
      <c r="G59" s="44"/>
      <c r="H59" s="48" t="str">
        <f t="shared" si="1"/>
        <v/>
      </c>
      <c r="I59" s="26"/>
      <c r="J59" s="27"/>
      <c r="K59" s="27"/>
      <c r="L59" s="25" t="str">
        <f ca="1">IF(E59="","",IF(E59="Perpetua","Perpetua",IF(K59="","Sin fecha",IF(K59&lt;TODAY(),"Vencida",IF(K59-TODAY()&lt;=Listas!$T$2,"Por vencer","Vigente")))))</f>
        <v/>
      </c>
      <c r="M59" s="28"/>
      <c r="N59" s="26"/>
      <c r="O59" s="26"/>
      <c r="P59" s="26"/>
      <c r="Q59" s="26"/>
    </row>
    <row r="60" spans="1:17" x14ac:dyDescent="0.25">
      <c r="A60" s="26"/>
      <c r="B60" s="26"/>
      <c r="C60" s="26"/>
      <c r="D60" s="26"/>
      <c r="E60" s="26"/>
      <c r="F60" s="44"/>
      <c r="G60" s="44"/>
      <c r="H60" s="48" t="str">
        <f t="shared" si="1"/>
        <v/>
      </c>
      <c r="I60" s="26"/>
      <c r="J60" s="27"/>
      <c r="K60" s="27"/>
      <c r="L60" s="25" t="str">
        <f ca="1">IF(E60="","",IF(E60="Perpetua","Perpetua",IF(K60="","Sin fecha",IF(K60&lt;TODAY(),"Vencida",IF(K60-TODAY()&lt;=Listas!$T$2,"Por vencer","Vigente")))))</f>
        <v/>
      </c>
      <c r="M60" s="28"/>
      <c r="N60" s="26"/>
      <c r="O60" s="26"/>
      <c r="P60" s="26"/>
      <c r="Q60" s="26"/>
    </row>
    <row r="61" spans="1:17" x14ac:dyDescent="0.25">
      <c r="A61" s="26"/>
      <c r="B61" s="26"/>
      <c r="C61" s="26"/>
      <c r="D61" s="26"/>
      <c r="E61" s="26"/>
      <c r="F61" s="44"/>
      <c r="G61" s="44"/>
      <c r="H61" s="48" t="str">
        <f t="shared" si="1"/>
        <v/>
      </c>
      <c r="I61" s="26"/>
      <c r="J61" s="27"/>
      <c r="K61" s="27"/>
      <c r="L61" s="25" t="str">
        <f ca="1">IF(E61="","",IF(E61="Perpetua","Perpetua",IF(K61="","Sin fecha",IF(K61&lt;TODAY(),"Vencida",IF(K61-TODAY()&lt;=Listas!$T$2,"Por vencer","Vigente")))))</f>
        <v/>
      </c>
      <c r="M61" s="28"/>
      <c r="N61" s="26"/>
      <c r="O61" s="26"/>
      <c r="P61" s="26"/>
      <c r="Q61" s="26"/>
    </row>
    <row r="62" spans="1:17" x14ac:dyDescent="0.25">
      <c r="A62" s="26"/>
      <c r="B62" s="26"/>
      <c r="C62" s="26"/>
      <c r="D62" s="26"/>
      <c r="E62" s="26"/>
      <c r="F62" s="44"/>
      <c r="G62" s="44"/>
      <c r="H62" s="48" t="str">
        <f t="shared" si="1"/>
        <v/>
      </c>
      <c r="I62" s="26"/>
      <c r="J62" s="27"/>
      <c r="K62" s="27"/>
      <c r="L62" s="25" t="str">
        <f ca="1">IF(E62="","",IF(E62="Perpetua","Perpetua",IF(K62="","Sin fecha",IF(K62&lt;TODAY(),"Vencida",IF(K62-TODAY()&lt;=Listas!$T$2,"Por vencer","Vigente")))))</f>
        <v/>
      </c>
      <c r="M62" s="28"/>
      <c r="N62" s="26"/>
      <c r="O62" s="26"/>
      <c r="P62" s="26"/>
      <c r="Q62" s="26"/>
    </row>
    <row r="63" spans="1:17" x14ac:dyDescent="0.25">
      <c r="A63" s="26"/>
      <c r="B63" s="26"/>
      <c r="C63" s="26"/>
      <c r="D63" s="26"/>
      <c r="E63" s="26"/>
      <c r="F63" s="44"/>
      <c r="G63" s="44"/>
      <c r="H63" s="48" t="str">
        <f t="shared" si="1"/>
        <v/>
      </c>
      <c r="I63" s="26"/>
      <c r="J63" s="27"/>
      <c r="K63" s="27"/>
      <c r="L63" s="25" t="str">
        <f ca="1">IF(E63="","",IF(E63="Perpetua","Perpetua",IF(K63="","Sin fecha",IF(K63&lt;TODAY(),"Vencida",IF(K63-TODAY()&lt;=Listas!$T$2,"Por vencer","Vigente")))))</f>
        <v/>
      </c>
      <c r="M63" s="28"/>
      <c r="N63" s="26"/>
      <c r="O63" s="26"/>
      <c r="P63" s="26"/>
      <c r="Q63" s="26"/>
    </row>
    <row r="64" spans="1:17" x14ac:dyDescent="0.25">
      <c r="A64" s="26"/>
      <c r="B64" s="26"/>
      <c r="C64" s="26"/>
      <c r="D64" s="26"/>
      <c r="E64" s="26"/>
      <c r="F64" s="44"/>
      <c r="G64" s="44"/>
      <c r="H64" s="48" t="str">
        <f t="shared" si="1"/>
        <v/>
      </c>
      <c r="I64" s="26"/>
      <c r="J64" s="27"/>
      <c r="K64" s="27"/>
      <c r="L64" s="25" t="str">
        <f ca="1">IF(E64="","",IF(E64="Perpetua","Perpetua",IF(K64="","Sin fecha",IF(K64&lt;TODAY(),"Vencida",IF(K64-TODAY()&lt;=Listas!$T$2,"Por vencer","Vigente")))))</f>
        <v/>
      </c>
      <c r="M64" s="28"/>
      <c r="N64" s="26"/>
      <c r="O64" s="26"/>
      <c r="P64" s="26"/>
      <c r="Q64" s="26"/>
    </row>
    <row r="65" spans="1:17" x14ac:dyDescent="0.25">
      <c r="A65" s="26"/>
      <c r="B65" s="26"/>
      <c r="C65" s="26"/>
      <c r="D65" s="26"/>
      <c r="E65" s="26"/>
      <c r="F65" s="44"/>
      <c r="G65" s="44"/>
      <c r="H65" s="48" t="str">
        <f t="shared" si="1"/>
        <v/>
      </c>
      <c r="I65" s="26"/>
      <c r="J65" s="27"/>
      <c r="K65" s="27"/>
      <c r="L65" s="25" t="str">
        <f ca="1">IF(E65="","",IF(E65="Perpetua","Perpetua",IF(K65="","Sin fecha",IF(K65&lt;TODAY(),"Vencida",IF(K65-TODAY()&lt;=Listas!$T$2,"Por vencer","Vigente")))))</f>
        <v/>
      </c>
      <c r="M65" s="28"/>
      <c r="N65" s="26"/>
      <c r="O65" s="26"/>
      <c r="P65" s="26"/>
      <c r="Q65" s="26"/>
    </row>
    <row r="66" spans="1:17" x14ac:dyDescent="0.25">
      <c r="A66" s="26"/>
      <c r="B66" s="26"/>
      <c r="C66" s="26"/>
      <c r="D66" s="26"/>
      <c r="E66" s="26"/>
      <c r="F66" s="44"/>
      <c r="G66" s="44"/>
      <c r="H66" s="48" t="str">
        <f t="shared" si="1"/>
        <v/>
      </c>
      <c r="I66" s="26"/>
      <c r="J66" s="27"/>
      <c r="K66" s="27"/>
      <c r="L66" s="25" t="str">
        <f ca="1">IF(E66="","",IF(E66="Perpetua","Perpetua",IF(K66="","Sin fecha",IF(K66&lt;TODAY(),"Vencida",IF(K66-TODAY()&lt;=Listas!$T$2,"Por vencer","Vigente")))))</f>
        <v/>
      </c>
      <c r="M66" s="28"/>
      <c r="N66" s="26"/>
      <c r="O66" s="26"/>
      <c r="P66" s="26"/>
      <c r="Q66" s="26"/>
    </row>
    <row r="67" spans="1:17" x14ac:dyDescent="0.25">
      <c r="A67" s="26"/>
      <c r="B67" s="26"/>
      <c r="C67" s="26"/>
      <c r="D67" s="26"/>
      <c r="E67" s="26"/>
      <c r="F67" s="44"/>
      <c r="G67" s="44"/>
      <c r="H67" s="48" t="str">
        <f t="shared" si="1"/>
        <v/>
      </c>
      <c r="I67" s="26"/>
      <c r="J67" s="27"/>
      <c r="K67" s="27"/>
      <c r="L67" s="25" t="str">
        <f ca="1">IF(E67="","",IF(E67="Perpetua","Perpetua",IF(K67="","Sin fecha",IF(K67&lt;TODAY(),"Vencida",IF(K67-TODAY()&lt;=Listas!$T$2,"Por vencer","Vigente")))))</f>
        <v/>
      </c>
      <c r="M67" s="28"/>
      <c r="N67" s="26"/>
      <c r="O67" s="26"/>
      <c r="P67" s="26"/>
      <c r="Q67" s="26"/>
    </row>
    <row r="68" spans="1:17" x14ac:dyDescent="0.25">
      <c r="A68" s="26"/>
      <c r="B68" s="26"/>
      <c r="C68" s="26"/>
      <c r="D68" s="26"/>
      <c r="E68" s="26"/>
      <c r="F68" s="44"/>
      <c r="G68" s="44"/>
      <c r="H68" s="48" t="str">
        <f t="shared" si="1"/>
        <v/>
      </c>
      <c r="I68" s="26"/>
      <c r="J68" s="27"/>
      <c r="K68" s="27"/>
      <c r="L68" s="25" t="str">
        <f ca="1">IF(E68="","",IF(E68="Perpetua","Perpetua",IF(K68="","Sin fecha",IF(K68&lt;TODAY(),"Vencida",IF(K68-TODAY()&lt;=Listas!$T$2,"Por vencer","Vigente")))))</f>
        <v/>
      </c>
      <c r="M68" s="28"/>
      <c r="N68" s="26"/>
      <c r="O68" s="26"/>
      <c r="P68" s="26"/>
      <c r="Q68" s="26"/>
    </row>
    <row r="69" spans="1:17" x14ac:dyDescent="0.25">
      <c r="A69" s="26"/>
      <c r="B69" s="26"/>
      <c r="C69" s="26"/>
      <c r="D69" s="26"/>
      <c r="E69" s="26"/>
      <c r="F69" s="44"/>
      <c r="G69" s="44"/>
      <c r="H69" s="48" t="str">
        <f t="shared" ref="H69:H100" si="2">IF(F69="","",F69-G69)</f>
        <v/>
      </c>
      <c r="I69" s="26"/>
      <c r="J69" s="27"/>
      <c r="K69" s="27"/>
      <c r="L69" s="25" t="str">
        <f ca="1">IF(E69="","",IF(E69="Perpetua","Perpetua",IF(K69="","Sin fecha",IF(K69&lt;TODAY(),"Vencida",IF(K69-TODAY()&lt;=Listas!$T$2,"Por vencer","Vigente")))))</f>
        <v/>
      </c>
      <c r="M69" s="28"/>
      <c r="N69" s="26"/>
      <c r="O69" s="26"/>
      <c r="P69" s="26"/>
      <c r="Q69" s="26"/>
    </row>
    <row r="70" spans="1:17" x14ac:dyDescent="0.25">
      <c r="A70" s="26"/>
      <c r="B70" s="26"/>
      <c r="C70" s="26"/>
      <c r="D70" s="26"/>
      <c r="E70" s="26"/>
      <c r="F70" s="44"/>
      <c r="G70" s="44"/>
      <c r="H70" s="48" t="str">
        <f t="shared" si="2"/>
        <v/>
      </c>
      <c r="I70" s="26"/>
      <c r="J70" s="27"/>
      <c r="K70" s="27"/>
      <c r="L70" s="25" t="str">
        <f ca="1">IF(E70="","",IF(E70="Perpetua","Perpetua",IF(K70="","Sin fecha",IF(K70&lt;TODAY(),"Vencida",IF(K70-TODAY()&lt;=Listas!$T$2,"Por vencer","Vigente")))))</f>
        <v/>
      </c>
      <c r="M70" s="28"/>
      <c r="N70" s="26"/>
      <c r="O70" s="26"/>
      <c r="P70" s="26"/>
      <c r="Q70" s="26"/>
    </row>
    <row r="71" spans="1:17" x14ac:dyDescent="0.25">
      <c r="A71" s="26"/>
      <c r="B71" s="26"/>
      <c r="C71" s="26"/>
      <c r="D71" s="26"/>
      <c r="E71" s="26"/>
      <c r="F71" s="44"/>
      <c r="G71" s="44"/>
      <c r="H71" s="48" t="str">
        <f t="shared" si="2"/>
        <v/>
      </c>
      <c r="I71" s="26"/>
      <c r="J71" s="27"/>
      <c r="K71" s="27"/>
      <c r="L71" s="25" t="str">
        <f ca="1">IF(E71="","",IF(E71="Perpetua","Perpetua",IF(K71="","Sin fecha",IF(K71&lt;TODAY(),"Vencida",IF(K71-TODAY()&lt;=Listas!$T$2,"Por vencer","Vigente")))))</f>
        <v/>
      </c>
      <c r="M71" s="28"/>
      <c r="N71" s="26"/>
      <c r="O71" s="26"/>
      <c r="P71" s="26"/>
      <c r="Q71" s="26"/>
    </row>
    <row r="72" spans="1:17" x14ac:dyDescent="0.25">
      <c r="A72" s="26"/>
      <c r="B72" s="26"/>
      <c r="C72" s="26"/>
      <c r="D72" s="26"/>
      <c r="E72" s="26"/>
      <c r="F72" s="44"/>
      <c r="G72" s="44"/>
      <c r="H72" s="48" t="str">
        <f t="shared" si="2"/>
        <v/>
      </c>
      <c r="I72" s="26"/>
      <c r="J72" s="27"/>
      <c r="K72" s="27"/>
      <c r="L72" s="25" t="str">
        <f ca="1">IF(E72="","",IF(E72="Perpetua","Perpetua",IF(K72="","Sin fecha",IF(K72&lt;TODAY(),"Vencida",IF(K72-TODAY()&lt;=Listas!$T$2,"Por vencer","Vigente")))))</f>
        <v/>
      </c>
      <c r="M72" s="28"/>
      <c r="N72" s="26"/>
      <c r="O72" s="26"/>
      <c r="P72" s="26"/>
      <c r="Q72" s="26"/>
    </row>
    <row r="73" spans="1:17" x14ac:dyDescent="0.25">
      <c r="A73" s="26"/>
      <c r="B73" s="26"/>
      <c r="C73" s="26"/>
      <c r="D73" s="26"/>
      <c r="E73" s="26"/>
      <c r="F73" s="44"/>
      <c r="G73" s="44"/>
      <c r="H73" s="48" t="str">
        <f t="shared" si="2"/>
        <v/>
      </c>
      <c r="I73" s="26"/>
      <c r="J73" s="27"/>
      <c r="K73" s="27"/>
      <c r="L73" s="25" t="str">
        <f ca="1">IF(E73="","",IF(E73="Perpetua","Perpetua",IF(K73="","Sin fecha",IF(K73&lt;TODAY(),"Vencida",IF(K73-TODAY()&lt;=Listas!$T$2,"Por vencer","Vigente")))))</f>
        <v/>
      </c>
      <c r="M73" s="28"/>
      <c r="N73" s="26"/>
      <c r="O73" s="26"/>
      <c r="P73" s="26"/>
      <c r="Q73" s="26"/>
    </row>
    <row r="74" spans="1:17" x14ac:dyDescent="0.25">
      <c r="A74" s="26"/>
      <c r="B74" s="26"/>
      <c r="C74" s="26"/>
      <c r="D74" s="26"/>
      <c r="E74" s="26"/>
      <c r="F74" s="44"/>
      <c r="G74" s="44"/>
      <c r="H74" s="48" t="str">
        <f t="shared" si="2"/>
        <v/>
      </c>
      <c r="I74" s="26"/>
      <c r="J74" s="27"/>
      <c r="K74" s="27"/>
      <c r="L74" s="25" t="str">
        <f ca="1">IF(E74="","",IF(E74="Perpetua","Perpetua",IF(K74="","Sin fecha",IF(K74&lt;TODAY(),"Vencida",IF(K74-TODAY()&lt;=Listas!$T$2,"Por vencer","Vigente")))))</f>
        <v/>
      </c>
      <c r="M74" s="28"/>
      <c r="N74" s="26"/>
      <c r="O74" s="26"/>
      <c r="P74" s="26"/>
      <c r="Q74" s="26"/>
    </row>
    <row r="75" spans="1:17" x14ac:dyDescent="0.25">
      <c r="A75" s="26"/>
      <c r="B75" s="26"/>
      <c r="C75" s="26"/>
      <c r="D75" s="26"/>
      <c r="E75" s="26"/>
      <c r="F75" s="44"/>
      <c r="G75" s="44"/>
      <c r="H75" s="48" t="str">
        <f t="shared" si="2"/>
        <v/>
      </c>
      <c r="I75" s="26"/>
      <c r="J75" s="27"/>
      <c r="K75" s="27"/>
      <c r="L75" s="25" t="str">
        <f ca="1">IF(E75="","",IF(E75="Perpetua","Perpetua",IF(K75="","Sin fecha",IF(K75&lt;TODAY(),"Vencida",IF(K75-TODAY()&lt;=Listas!$T$2,"Por vencer","Vigente")))))</f>
        <v/>
      </c>
      <c r="M75" s="28"/>
      <c r="N75" s="26"/>
      <c r="O75" s="26"/>
      <c r="P75" s="26"/>
      <c r="Q75" s="26"/>
    </row>
    <row r="76" spans="1:17" x14ac:dyDescent="0.25">
      <c r="A76" s="26"/>
      <c r="B76" s="26"/>
      <c r="C76" s="26"/>
      <c r="D76" s="26"/>
      <c r="E76" s="26"/>
      <c r="F76" s="44"/>
      <c r="G76" s="44"/>
      <c r="H76" s="48" t="str">
        <f t="shared" si="2"/>
        <v/>
      </c>
      <c r="I76" s="26"/>
      <c r="J76" s="27"/>
      <c r="K76" s="27"/>
      <c r="L76" s="25" t="str">
        <f ca="1">IF(E76="","",IF(E76="Perpetua","Perpetua",IF(K76="","Sin fecha",IF(K76&lt;TODAY(),"Vencida",IF(K76-TODAY()&lt;=Listas!$T$2,"Por vencer","Vigente")))))</f>
        <v/>
      </c>
      <c r="M76" s="28"/>
      <c r="N76" s="26"/>
      <c r="O76" s="26"/>
      <c r="P76" s="26"/>
      <c r="Q76" s="26"/>
    </row>
    <row r="77" spans="1:17" x14ac:dyDescent="0.25">
      <c r="A77" s="26"/>
      <c r="B77" s="26"/>
      <c r="C77" s="26"/>
      <c r="D77" s="26"/>
      <c r="E77" s="26"/>
      <c r="F77" s="44"/>
      <c r="G77" s="44"/>
      <c r="H77" s="48" t="str">
        <f t="shared" si="2"/>
        <v/>
      </c>
      <c r="I77" s="26"/>
      <c r="J77" s="27"/>
      <c r="K77" s="27"/>
      <c r="L77" s="25" t="str">
        <f ca="1">IF(E77="","",IF(E77="Perpetua","Perpetua",IF(K77="","Sin fecha",IF(K77&lt;TODAY(),"Vencida",IF(K77-TODAY()&lt;=Listas!$T$2,"Por vencer","Vigente")))))</f>
        <v/>
      </c>
      <c r="M77" s="28"/>
      <c r="N77" s="26"/>
      <c r="O77" s="26"/>
      <c r="P77" s="26"/>
      <c r="Q77" s="26"/>
    </row>
    <row r="78" spans="1:17" x14ac:dyDescent="0.25">
      <c r="A78" s="26"/>
      <c r="B78" s="26"/>
      <c r="C78" s="26"/>
      <c r="D78" s="26"/>
      <c r="E78" s="26"/>
      <c r="F78" s="44"/>
      <c r="G78" s="44"/>
      <c r="H78" s="48" t="str">
        <f t="shared" si="2"/>
        <v/>
      </c>
      <c r="I78" s="26"/>
      <c r="J78" s="27"/>
      <c r="K78" s="27"/>
      <c r="L78" s="25" t="str">
        <f ca="1">IF(E78="","",IF(E78="Perpetua","Perpetua",IF(K78="","Sin fecha",IF(K78&lt;TODAY(),"Vencida",IF(K78-TODAY()&lt;=Listas!$T$2,"Por vencer","Vigente")))))</f>
        <v/>
      </c>
      <c r="M78" s="28"/>
      <c r="N78" s="26"/>
      <c r="O78" s="26"/>
      <c r="P78" s="26"/>
      <c r="Q78" s="26"/>
    </row>
    <row r="79" spans="1:17" x14ac:dyDescent="0.25">
      <c r="A79" s="26"/>
      <c r="B79" s="26"/>
      <c r="C79" s="26"/>
      <c r="D79" s="26"/>
      <c r="E79" s="26"/>
      <c r="F79" s="44"/>
      <c r="G79" s="44"/>
      <c r="H79" s="48" t="str">
        <f t="shared" si="2"/>
        <v/>
      </c>
      <c r="I79" s="26"/>
      <c r="J79" s="27"/>
      <c r="K79" s="27"/>
      <c r="L79" s="25" t="str">
        <f ca="1">IF(E79="","",IF(E79="Perpetua","Perpetua",IF(K79="","Sin fecha",IF(K79&lt;TODAY(),"Vencida",IF(K79-TODAY()&lt;=Listas!$T$2,"Por vencer","Vigente")))))</f>
        <v/>
      </c>
      <c r="M79" s="28"/>
      <c r="N79" s="26"/>
      <c r="O79" s="26"/>
      <c r="P79" s="26"/>
      <c r="Q79" s="26"/>
    </row>
    <row r="80" spans="1:17" x14ac:dyDescent="0.25">
      <c r="A80" s="26"/>
      <c r="B80" s="26"/>
      <c r="C80" s="26"/>
      <c r="D80" s="26"/>
      <c r="E80" s="26"/>
      <c r="F80" s="44"/>
      <c r="G80" s="44"/>
      <c r="H80" s="48" t="str">
        <f t="shared" si="2"/>
        <v/>
      </c>
      <c r="I80" s="26"/>
      <c r="J80" s="27"/>
      <c r="K80" s="27"/>
      <c r="L80" s="25" t="str">
        <f ca="1">IF(E80="","",IF(E80="Perpetua","Perpetua",IF(K80="","Sin fecha",IF(K80&lt;TODAY(),"Vencida",IF(K80-TODAY()&lt;=Listas!$T$2,"Por vencer","Vigente")))))</f>
        <v/>
      </c>
      <c r="M80" s="28"/>
      <c r="N80" s="26"/>
      <c r="O80" s="26"/>
      <c r="P80" s="26"/>
      <c r="Q80" s="26"/>
    </row>
    <row r="81" spans="1:17" x14ac:dyDescent="0.25">
      <c r="A81" s="26"/>
      <c r="B81" s="26"/>
      <c r="C81" s="26"/>
      <c r="D81" s="26"/>
      <c r="E81" s="26"/>
      <c r="F81" s="44"/>
      <c r="G81" s="44"/>
      <c r="H81" s="48" t="str">
        <f t="shared" si="2"/>
        <v/>
      </c>
      <c r="I81" s="26"/>
      <c r="J81" s="27"/>
      <c r="K81" s="27"/>
      <c r="L81" s="25" t="str">
        <f ca="1">IF(E81="","",IF(E81="Perpetua","Perpetua",IF(K81="","Sin fecha",IF(K81&lt;TODAY(),"Vencida",IF(K81-TODAY()&lt;=Listas!$T$2,"Por vencer","Vigente")))))</f>
        <v/>
      </c>
      <c r="M81" s="28"/>
      <c r="N81" s="26"/>
      <c r="O81" s="26"/>
      <c r="P81" s="26"/>
      <c r="Q81" s="26"/>
    </row>
    <row r="82" spans="1:17" x14ac:dyDescent="0.25">
      <c r="A82" s="26"/>
      <c r="B82" s="26"/>
      <c r="C82" s="26"/>
      <c r="D82" s="26"/>
      <c r="E82" s="26"/>
      <c r="F82" s="44"/>
      <c r="G82" s="44"/>
      <c r="H82" s="48" t="str">
        <f t="shared" si="2"/>
        <v/>
      </c>
      <c r="I82" s="26"/>
      <c r="J82" s="27"/>
      <c r="K82" s="27"/>
      <c r="L82" s="25" t="str">
        <f ca="1">IF(E82="","",IF(E82="Perpetua","Perpetua",IF(K82="","Sin fecha",IF(K82&lt;TODAY(),"Vencida",IF(K82-TODAY()&lt;=Listas!$T$2,"Por vencer","Vigente")))))</f>
        <v/>
      </c>
      <c r="M82" s="28"/>
      <c r="N82" s="26"/>
      <c r="O82" s="26"/>
      <c r="P82" s="26"/>
      <c r="Q82" s="26"/>
    </row>
    <row r="83" spans="1:17" x14ac:dyDescent="0.25">
      <c r="A83" s="26"/>
      <c r="B83" s="26"/>
      <c r="C83" s="26"/>
      <c r="D83" s="26"/>
      <c r="E83" s="26"/>
      <c r="F83" s="44"/>
      <c r="G83" s="44"/>
      <c r="H83" s="48" t="str">
        <f t="shared" si="2"/>
        <v/>
      </c>
      <c r="I83" s="26"/>
      <c r="J83" s="27"/>
      <c r="K83" s="27"/>
      <c r="L83" s="25" t="str">
        <f ca="1">IF(E83="","",IF(E83="Perpetua","Perpetua",IF(K83="","Sin fecha",IF(K83&lt;TODAY(),"Vencida",IF(K83-TODAY()&lt;=Listas!$T$2,"Por vencer","Vigente")))))</f>
        <v/>
      </c>
      <c r="M83" s="28"/>
      <c r="N83" s="26"/>
      <c r="O83" s="26"/>
      <c r="P83" s="26"/>
      <c r="Q83" s="26"/>
    </row>
    <row r="84" spans="1:17" x14ac:dyDescent="0.25">
      <c r="A84" s="26"/>
      <c r="B84" s="26"/>
      <c r="C84" s="26"/>
      <c r="D84" s="26"/>
      <c r="E84" s="26"/>
      <c r="F84" s="44"/>
      <c r="G84" s="44"/>
      <c r="H84" s="48" t="str">
        <f t="shared" si="2"/>
        <v/>
      </c>
      <c r="I84" s="26"/>
      <c r="J84" s="27"/>
      <c r="K84" s="27"/>
      <c r="L84" s="25" t="str">
        <f ca="1">IF(E84="","",IF(E84="Perpetua","Perpetua",IF(K84="","Sin fecha",IF(K84&lt;TODAY(),"Vencida",IF(K84-TODAY()&lt;=Listas!$T$2,"Por vencer","Vigente")))))</f>
        <v/>
      </c>
      <c r="M84" s="28"/>
      <c r="N84" s="26"/>
      <c r="O84" s="26"/>
      <c r="P84" s="26"/>
      <c r="Q84" s="26"/>
    </row>
    <row r="85" spans="1:17" x14ac:dyDescent="0.25">
      <c r="A85" s="26"/>
      <c r="B85" s="26"/>
      <c r="C85" s="26"/>
      <c r="D85" s="26"/>
      <c r="E85" s="26"/>
      <c r="F85" s="44"/>
      <c r="G85" s="44"/>
      <c r="H85" s="48" t="str">
        <f t="shared" si="2"/>
        <v/>
      </c>
      <c r="I85" s="26"/>
      <c r="J85" s="27"/>
      <c r="K85" s="27"/>
      <c r="L85" s="25" t="str">
        <f ca="1">IF(E85="","",IF(E85="Perpetua","Perpetua",IF(K85="","Sin fecha",IF(K85&lt;TODAY(),"Vencida",IF(K85-TODAY()&lt;=Listas!$T$2,"Por vencer","Vigente")))))</f>
        <v/>
      </c>
      <c r="M85" s="28"/>
      <c r="N85" s="26"/>
      <c r="O85" s="26"/>
      <c r="P85" s="26"/>
      <c r="Q85" s="26"/>
    </row>
    <row r="86" spans="1:17" x14ac:dyDescent="0.25">
      <c r="A86" s="26"/>
      <c r="B86" s="26"/>
      <c r="C86" s="26"/>
      <c r="D86" s="26"/>
      <c r="E86" s="26"/>
      <c r="F86" s="44"/>
      <c r="G86" s="44"/>
      <c r="H86" s="48" t="str">
        <f t="shared" si="2"/>
        <v/>
      </c>
      <c r="I86" s="26"/>
      <c r="J86" s="27"/>
      <c r="K86" s="27"/>
      <c r="L86" s="25" t="str">
        <f ca="1">IF(E86="","",IF(E86="Perpetua","Perpetua",IF(K86="","Sin fecha",IF(K86&lt;TODAY(),"Vencida",IF(K86-TODAY()&lt;=Listas!$T$2,"Por vencer","Vigente")))))</f>
        <v/>
      </c>
      <c r="M86" s="28"/>
      <c r="N86" s="26"/>
      <c r="O86" s="26"/>
      <c r="P86" s="26"/>
      <c r="Q86" s="26"/>
    </row>
    <row r="87" spans="1:17" x14ac:dyDescent="0.25">
      <c r="A87" s="26"/>
      <c r="B87" s="26"/>
      <c r="C87" s="26"/>
      <c r="D87" s="26"/>
      <c r="E87" s="26"/>
      <c r="F87" s="44"/>
      <c r="G87" s="44"/>
      <c r="H87" s="48" t="str">
        <f t="shared" si="2"/>
        <v/>
      </c>
      <c r="I87" s="26"/>
      <c r="J87" s="27"/>
      <c r="K87" s="27"/>
      <c r="L87" s="25" t="str">
        <f ca="1">IF(E87="","",IF(E87="Perpetua","Perpetua",IF(K87="","Sin fecha",IF(K87&lt;TODAY(),"Vencida",IF(K87-TODAY()&lt;=Listas!$T$2,"Por vencer","Vigente")))))</f>
        <v/>
      </c>
      <c r="M87" s="28"/>
      <c r="N87" s="26"/>
      <c r="O87" s="26"/>
      <c r="P87" s="26"/>
      <c r="Q87" s="26"/>
    </row>
    <row r="88" spans="1:17" x14ac:dyDescent="0.25">
      <c r="A88" s="26"/>
      <c r="B88" s="26"/>
      <c r="C88" s="26"/>
      <c r="D88" s="26"/>
      <c r="E88" s="26"/>
      <c r="F88" s="44"/>
      <c r="G88" s="44"/>
      <c r="H88" s="48" t="str">
        <f t="shared" si="2"/>
        <v/>
      </c>
      <c r="I88" s="26"/>
      <c r="J88" s="27"/>
      <c r="K88" s="27"/>
      <c r="L88" s="25" t="str">
        <f ca="1">IF(E88="","",IF(E88="Perpetua","Perpetua",IF(K88="","Sin fecha",IF(K88&lt;TODAY(),"Vencida",IF(K88-TODAY()&lt;=Listas!$T$2,"Por vencer","Vigente")))))</f>
        <v/>
      </c>
      <c r="M88" s="28"/>
      <c r="N88" s="26"/>
      <c r="O88" s="26"/>
      <c r="P88" s="26"/>
      <c r="Q88" s="26"/>
    </row>
    <row r="89" spans="1:17" x14ac:dyDescent="0.25">
      <c r="A89" s="26"/>
      <c r="B89" s="26"/>
      <c r="C89" s="26"/>
      <c r="D89" s="26"/>
      <c r="E89" s="26"/>
      <c r="F89" s="44"/>
      <c r="G89" s="44"/>
      <c r="H89" s="48" t="str">
        <f t="shared" si="2"/>
        <v/>
      </c>
      <c r="I89" s="26"/>
      <c r="J89" s="27"/>
      <c r="K89" s="27"/>
      <c r="L89" s="25" t="str">
        <f ca="1">IF(E89="","",IF(E89="Perpetua","Perpetua",IF(K89="","Sin fecha",IF(K89&lt;TODAY(),"Vencida",IF(K89-TODAY()&lt;=Listas!$T$2,"Por vencer","Vigente")))))</f>
        <v/>
      </c>
      <c r="M89" s="28"/>
      <c r="N89" s="26"/>
      <c r="O89" s="26"/>
      <c r="P89" s="26"/>
      <c r="Q89" s="26"/>
    </row>
    <row r="90" spans="1:17" x14ac:dyDescent="0.25">
      <c r="A90" s="26"/>
      <c r="B90" s="26"/>
      <c r="C90" s="26"/>
      <c r="D90" s="26"/>
      <c r="E90" s="26"/>
      <c r="F90" s="44"/>
      <c r="G90" s="44"/>
      <c r="H90" s="48" t="str">
        <f t="shared" si="2"/>
        <v/>
      </c>
      <c r="I90" s="26"/>
      <c r="J90" s="27"/>
      <c r="K90" s="27"/>
      <c r="L90" s="25" t="str">
        <f ca="1">IF(E90="","",IF(E90="Perpetua","Perpetua",IF(K90="","Sin fecha",IF(K90&lt;TODAY(),"Vencida",IF(K90-TODAY()&lt;=Listas!$T$2,"Por vencer","Vigente")))))</f>
        <v/>
      </c>
      <c r="M90" s="28"/>
      <c r="N90" s="26"/>
      <c r="O90" s="26"/>
      <c r="P90" s="26"/>
      <c r="Q90" s="26"/>
    </row>
    <row r="91" spans="1:17" x14ac:dyDescent="0.25">
      <c r="A91" s="26"/>
      <c r="B91" s="26"/>
      <c r="C91" s="26"/>
      <c r="D91" s="26"/>
      <c r="E91" s="26"/>
      <c r="F91" s="44"/>
      <c r="G91" s="44"/>
      <c r="H91" s="48" t="str">
        <f t="shared" si="2"/>
        <v/>
      </c>
      <c r="I91" s="26"/>
      <c r="J91" s="27"/>
      <c r="K91" s="27"/>
      <c r="L91" s="25" t="str">
        <f ca="1">IF(E91="","",IF(E91="Perpetua","Perpetua",IF(K91="","Sin fecha",IF(K91&lt;TODAY(),"Vencida",IF(K91-TODAY()&lt;=Listas!$T$2,"Por vencer","Vigente")))))</f>
        <v/>
      </c>
      <c r="M91" s="28"/>
      <c r="N91" s="26"/>
      <c r="O91" s="26"/>
      <c r="P91" s="26"/>
      <c r="Q91" s="26"/>
    </row>
    <row r="92" spans="1:17" x14ac:dyDescent="0.25">
      <c r="A92" s="26"/>
      <c r="B92" s="26"/>
      <c r="C92" s="26"/>
      <c r="D92" s="26"/>
      <c r="E92" s="26"/>
      <c r="F92" s="44"/>
      <c r="G92" s="44"/>
      <c r="H92" s="48" t="str">
        <f t="shared" si="2"/>
        <v/>
      </c>
      <c r="I92" s="26"/>
      <c r="J92" s="27"/>
      <c r="K92" s="27"/>
      <c r="L92" s="25" t="str">
        <f ca="1">IF(E92="","",IF(E92="Perpetua","Perpetua",IF(K92="","Sin fecha",IF(K92&lt;TODAY(),"Vencida",IF(K92-TODAY()&lt;=Listas!$T$2,"Por vencer","Vigente")))))</f>
        <v/>
      </c>
      <c r="M92" s="28"/>
      <c r="N92" s="26"/>
      <c r="O92" s="26"/>
      <c r="P92" s="26"/>
      <c r="Q92" s="26"/>
    </row>
    <row r="93" spans="1:17" x14ac:dyDescent="0.25">
      <c r="A93" s="26"/>
      <c r="B93" s="26"/>
      <c r="C93" s="26"/>
      <c r="D93" s="26"/>
      <c r="E93" s="26"/>
      <c r="F93" s="44"/>
      <c r="G93" s="44"/>
      <c r="H93" s="48" t="str">
        <f t="shared" si="2"/>
        <v/>
      </c>
      <c r="I93" s="26"/>
      <c r="J93" s="27"/>
      <c r="K93" s="27"/>
      <c r="L93" s="25" t="str">
        <f ca="1">IF(E93="","",IF(E93="Perpetua","Perpetua",IF(K93="","Sin fecha",IF(K93&lt;TODAY(),"Vencida",IF(K93-TODAY()&lt;=Listas!$T$2,"Por vencer","Vigente")))))</f>
        <v/>
      </c>
      <c r="M93" s="28"/>
      <c r="N93" s="26"/>
      <c r="O93" s="26"/>
      <c r="P93" s="26"/>
      <c r="Q93" s="26"/>
    </row>
    <row r="94" spans="1:17" x14ac:dyDescent="0.25">
      <c r="A94" s="26"/>
      <c r="B94" s="26"/>
      <c r="C94" s="26"/>
      <c r="D94" s="26"/>
      <c r="E94" s="26"/>
      <c r="F94" s="44"/>
      <c r="G94" s="44"/>
      <c r="H94" s="48" t="str">
        <f t="shared" si="2"/>
        <v/>
      </c>
      <c r="I94" s="26"/>
      <c r="J94" s="27"/>
      <c r="K94" s="27"/>
      <c r="L94" s="25" t="str">
        <f ca="1">IF(E94="","",IF(E94="Perpetua","Perpetua",IF(K94="","Sin fecha",IF(K94&lt;TODAY(),"Vencida",IF(K94-TODAY()&lt;=Listas!$T$2,"Por vencer","Vigente")))))</f>
        <v/>
      </c>
      <c r="M94" s="28"/>
      <c r="N94" s="26"/>
      <c r="O94" s="26"/>
      <c r="P94" s="26"/>
      <c r="Q94" s="26"/>
    </row>
    <row r="95" spans="1:17" x14ac:dyDescent="0.25">
      <c r="A95" s="26"/>
      <c r="B95" s="26"/>
      <c r="C95" s="26"/>
      <c r="D95" s="26"/>
      <c r="E95" s="26"/>
      <c r="F95" s="44"/>
      <c r="G95" s="44"/>
      <c r="H95" s="48" t="str">
        <f t="shared" si="2"/>
        <v/>
      </c>
      <c r="I95" s="26"/>
      <c r="J95" s="27"/>
      <c r="K95" s="27"/>
      <c r="L95" s="25" t="str">
        <f ca="1">IF(E95="","",IF(E95="Perpetua","Perpetua",IF(K95="","Sin fecha",IF(K95&lt;TODAY(),"Vencida",IF(K95-TODAY()&lt;=Listas!$T$2,"Por vencer","Vigente")))))</f>
        <v/>
      </c>
      <c r="M95" s="28"/>
      <c r="N95" s="26"/>
      <c r="O95" s="26"/>
      <c r="P95" s="26"/>
      <c r="Q95" s="26"/>
    </row>
    <row r="96" spans="1:17" x14ac:dyDescent="0.25">
      <c r="A96" s="26"/>
      <c r="B96" s="26"/>
      <c r="C96" s="26"/>
      <c r="D96" s="26"/>
      <c r="E96" s="26"/>
      <c r="F96" s="44"/>
      <c r="G96" s="44"/>
      <c r="H96" s="48" t="str">
        <f t="shared" si="2"/>
        <v/>
      </c>
      <c r="I96" s="26"/>
      <c r="J96" s="27"/>
      <c r="K96" s="27"/>
      <c r="L96" s="25" t="str">
        <f ca="1">IF(E96="","",IF(E96="Perpetua","Perpetua",IF(K96="","Sin fecha",IF(K96&lt;TODAY(),"Vencida",IF(K96-TODAY()&lt;=Listas!$T$2,"Por vencer","Vigente")))))</f>
        <v/>
      </c>
      <c r="M96" s="28"/>
      <c r="N96" s="26"/>
      <c r="O96" s="26"/>
      <c r="P96" s="26"/>
      <c r="Q96" s="26"/>
    </row>
    <row r="97" spans="1:17" x14ac:dyDescent="0.25">
      <c r="A97" s="26"/>
      <c r="B97" s="26"/>
      <c r="C97" s="26"/>
      <c r="D97" s="26"/>
      <c r="E97" s="26"/>
      <c r="F97" s="44"/>
      <c r="G97" s="44"/>
      <c r="H97" s="48" t="str">
        <f t="shared" si="2"/>
        <v/>
      </c>
      <c r="I97" s="26"/>
      <c r="J97" s="27"/>
      <c r="K97" s="27"/>
      <c r="L97" s="25" t="str">
        <f ca="1">IF(E97="","",IF(E97="Perpetua","Perpetua",IF(K97="","Sin fecha",IF(K97&lt;TODAY(),"Vencida",IF(K97-TODAY()&lt;=Listas!$T$2,"Por vencer","Vigente")))))</f>
        <v/>
      </c>
      <c r="M97" s="28"/>
      <c r="N97" s="26"/>
      <c r="O97" s="26"/>
      <c r="P97" s="26"/>
      <c r="Q97" s="26"/>
    </row>
    <row r="98" spans="1:17" x14ac:dyDescent="0.25">
      <c r="A98" s="26"/>
      <c r="B98" s="26"/>
      <c r="C98" s="26"/>
      <c r="D98" s="26"/>
      <c r="E98" s="26"/>
      <c r="F98" s="44"/>
      <c r="G98" s="44"/>
      <c r="H98" s="48" t="str">
        <f t="shared" si="2"/>
        <v/>
      </c>
      <c r="I98" s="26"/>
      <c r="J98" s="27"/>
      <c r="K98" s="27"/>
      <c r="L98" s="25" t="str">
        <f ca="1">IF(E98="","",IF(E98="Perpetua","Perpetua",IF(K98="","Sin fecha",IF(K98&lt;TODAY(),"Vencida",IF(K98-TODAY()&lt;=Listas!$T$2,"Por vencer","Vigente")))))</f>
        <v/>
      </c>
      <c r="M98" s="28"/>
      <c r="N98" s="26"/>
      <c r="O98" s="26"/>
      <c r="P98" s="26"/>
      <c r="Q98" s="26"/>
    </row>
    <row r="99" spans="1:17" x14ac:dyDescent="0.25">
      <c r="A99" s="26"/>
      <c r="B99" s="26"/>
      <c r="C99" s="26"/>
      <c r="D99" s="26"/>
      <c r="E99" s="26"/>
      <c r="F99" s="44"/>
      <c r="G99" s="44"/>
      <c r="H99" s="48" t="str">
        <f t="shared" si="2"/>
        <v/>
      </c>
      <c r="I99" s="26"/>
      <c r="J99" s="27"/>
      <c r="K99" s="27"/>
      <c r="L99" s="25" t="str">
        <f ca="1">IF(E99="","",IF(E99="Perpetua","Perpetua",IF(K99="","Sin fecha",IF(K99&lt;TODAY(),"Vencida",IF(K99-TODAY()&lt;=Listas!$T$2,"Por vencer","Vigente")))))</f>
        <v/>
      </c>
      <c r="M99" s="28"/>
      <c r="N99" s="26"/>
      <c r="O99" s="26"/>
      <c r="P99" s="26"/>
      <c r="Q99" s="26"/>
    </row>
    <row r="100" spans="1:17" x14ac:dyDescent="0.25">
      <c r="A100" s="26"/>
      <c r="B100" s="26"/>
      <c r="C100" s="26"/>
      <c r="D100" s="26"/>
      <c r="E100" s="26"/>
      <c r="F100" s="44"/>
      <c r="G100" s="44"/>
      <c r="H100" s="48" t="str">
        <f t="shared" si="2"/>
        <v/>
      </c>
      <c r="I100" s="26"/>
      <c r="J100" s="27"/>
      <c r="K100" s="27"/>
      <c r="L100" s="25" t="str">
        <f ca="1">IF(E100="","",IF(E100="Perpetua","Perpetua",IF(K100="","Sin fecha",IF(K100&lt;TODAY(),"Vencida",IF(K100-TODAY()&lt;=Listas!$T$2,"Por vencer","Vigente")))))</f>
        <v/>
      </c>
      <c r="M100" s="28"/>
      <c r="N100" s="26"/>
      <c r="O100" s="26"/>
      <c r="P100" s="26"/>
      <c r="Q100" s="26"/>
    </row>
    <row r="101" spans="1:17" x14ac:dyDescent="0.25">
      <c r="A101" s="26"/>
      <c r="B101" s="26"/>
      <c r="C101" s="26"/>
      <c r="D101" s="26"/>
      <c r="E101" s="26"/>
      <c r="F101" s="44"/>
      <c r="G101" s="44"/>
      <c r="H101" s="48" t="str">
        <f t="shared" ref="H101:H132" si="3">IF(F101="","",F101-G101)</f>
        <v/>
      </c>
      <c r="I101" s="26"/>
      <c r="J101" s="27"/>
      <c r="K101" s="27"/>
      <c r="L101" s="25" t="str">
        <f ca="1">IF(E101="","",IF(E101="Perpetua","Perpetua",IF(K101="","Sin fecha",IF(K101&lt;TODAY(),"Vencida",IF(K101-TODAY()&lt;=Listas!$T$2,"Por vencer","Vigente")))))</f>
        <v/>
      </c>
      <c r="M101" s="28"/>
      <c r="N101" s="26"/>
      <c r="O101" s="26"/>
      <c r="P101" s="26"/>
      <c r="Q101" s="26"/>
    </row>
    <row r="102" spans="1:17" x14ac:dyDescent="0.25">
      <c r="A102" s="26"/>
      <c r="B102" s="26"/>
      <c r="C102" s="26"/>
      <c r="D102" s="26"/>
      <c r="E102" s="26"/>
      <c r="F102" s="44"/>
      <c r="G102" s="44"/>
      <c r="H102" s="48" t="str">
        <f t="shared" si="3"/>
        <v/>
      </c>
      <c r="I102" s="26"/>
      <c r="J102" s="27"/>
      <c r="K102" s="27"/>
      <c r="L102" s="25" t="str">
        <f ca="1">IF(E102="","",IF(E102="Perpetua","Perpetua",IF(K102="","Sin fecha",IF(K102&lt;TODAY(),"Vencida",IF(K102-TODAY()&lt;=Listas!$T$2,"Por vencer","Vigente")))))</f>
        <v/>
      </c>
      <c r="M102" s="28"/>
      <c r="N102" s="26"/>
      <c r="O102" s="26"/>
      <c r="P102" s="26"/>
      <c r="Q102" s="26"/>
    </row>
    <row r="103" spans="1:17" x14ac:dyDescent="0.25">
      <c r="A103" s="26"/>
      <c r="B103" s="26"/>
      <c r="C103" s="26"/>
      <c r="D103" s="26"/>
      <c r="E103" s="26"/>
      <c r="F103" s="44"/>
      <c r="G103" s="44"/>
      <c r="H103" s="48" t="str">
        <f t="shared" si="3"/>
        <v/>
      </c>
      <c r="I103" s="26"/>
      <c r="J103" s="27"/>
      <c r="K103" s="27"/>
      <c r="L103" s="25" t="str">
        <f ca="1">IF(E103="","",IF(E103="Perpetua","Perpetua",IF(K103="","Sin fecha",IF(K103&lt;TODAY(),"Vencida",IF(K103-TODAY()&lt;=Listas!$T$2,"Por vencer","Vigente")))))</f>
        <v/>
      </c>
      <c r="M103" s="28"/>
      <c r="N103" s="26"/>
      <c r="O103" s="26"/>
      <c r="P103" s="26"/>
      <c r="Q103" s="26"/>
    </row>
    <row r="104" spans="1:17" x14ac:dyDescent="0.25">
      <c r="A104" s="26"/>
      <c r="B104" s="26"/>
      <c r="C104" s="26"/>
      <c r="D104" s="26"/>
      <c r="E104" s="26"/>
      <c r="F104" s="44"/>
      <c r="G104" s="44"/>
      <c r="H104" s="48" t="str">
        <f t="shared" si="3"/>
        <v/>
      </c>
      <c r="I104" s="26"/>
      <c r="J104" s="27"/>
      <c r="K104" s="27"/>
      <c r="L104" s="25" t="str">
        <f ca="1">IF(E104="","",IF(E104="Perpetua","Perpetua",IF(K104="","Sin fecha",IF(K104&lt;TODAY(),"Vencida",IF(K104-TODAY()&lt;=Listas!$T$2,"Por vencer","Vigente")))))</f>
        <v/>
      </c>
      <c r="M104" s="28"/>
      <c r="N104" s="26"/>
      <c r="O104" s="26"/>
      <c r="P104" s="26"/>
      <c r="Q104" s="26"/>
    </row>
    <row r="105" spans="1:17" x14ac:dyDescent="0.25">
      <c r="A105" s="26"/>
      <c r="B105" s="26"/>
      <c r="C105" s="26"/>
      <c r="D105" s="26"/>
      <c r="E105" s="26"/>
      <c r="F105" s="44"/>
      <c r="G105" s="44"/>
      <c r="H105" s="48" t="str">
        <f t="shared" si="3"/>
        <v/>
      </c>
      <c r="I105" s="26"/>
      <c r="J105" s="27"/>
      <c r="K105" s="27"/>
      <c r="L105" s="25" t="str">
        <f ca="1">IF(E105="","",IF(E105="Perpetua","Perpetua",IF(K105="","Sin fecha",IF(K105&lt;TODAY(),"Vencida",IF(K105-TODAY()&lt;=Listas!$T$2,"Por vencer","Vigente")))))</f>
        <v/>
      </c>
      <c r="M105" s="28"/>
      <c r="N105" s="26"/>
      <c r="O105" s="26"/>
      <c r="P105" s="26"/>
      <c r="Q105" s="26"/>
    </row>
    <row r="106" spans="1:17" x14ac:dyDescent="0.25">
      <c r="A106" s="26"/>
      <c r="B106" s="26"/>
      <c r="C106" s="26"/>
      <c r="D106" s="26"/>
      <c r="E106" s="26"/>
      <c r="F106" s="44"/>
      <c r="G106" s="44"/>
      <c r="H106" s="48" t="str">
        <f t="shared" si="3"/>
        <v/>
      </c>
      <c r="I106" s="26"/>
      <c r="J106" s="27"/>
      <c r="K106" s="27"/>
      <c r="L106" s="25" t="str">
        <f ca="1">IF(E106="","",IF(E106="Perpetua","Perpetua",IF(K106="","Sin fecha",IF(K106&lt;TODAY(),"Vencida",IF(K106-TODAY()&lt;=Listas!$T$2,"Por vencer","Vigente")))))</f>
        <v/>
      </c>
      <c r="M106" s="28"/>
      <c r="N106" s="26"/>
      <c r="O106" s="26"/>
      <c r="P106" s="26"/>
      <c r="Q106" s="26"/>
    </row>
    <row r="107" spans="1:17" x14ac:dyDescent="0.25">
      <c r="A107" s="26"/>
      <c r="B107" s="26"/>
      <c r="C107" s="26"/>
      <c r="D107" s="26"/>
      <c r="E107" s="26"/>
      <c r="F107" s="44"/>
      <c r="G107" s="44"/>
      <c r="H107" s="48" t="str">
        <f t="shared" si="3"/>
        <v/>
      </c>
      <c r="I107" s="26"/>
      <c r="J107" s="27"/>
      <c r="K107" s="27"/>
      <c r="L107" s="25" t="str">
        <f ca="1">IF(E107="","",IF(E107="Perpetua","Perpetua",IF(K107="","Sin fecha",IF(K107&lt;TODAY(),"Vencida",IF(K107-TODAY()&lt;=Listas!$T$2,"Por vencer","Vigente")))))</f>
        <v/>
      </c>
      <c r="M107" s="28"/>
      <c r="N107" s="26"/>
      <c r="O107" s="26"/>
      <c r="P107" s="26"/>
      <c r="Q107" s="26"/>
    </row>
    <row r="108" spans="1:17" x14ac:dyDescent="0.25">
      <c r="A108" s="26"/>
      <c r="B108" s="26"/>
      <c r="C108" s="26"/>
      <c r="D108" s="26"/>
      <c r="E108" s="26"/>
      <c r="F108" s="44"/>
      <c r="G108" s="44"/>
      <c r="H108" s="48" t="str">
        <f t="shared" si="3"/>
        <v/>
      </c>
      <c r="I108" s="26"/>
      <c r="J108" s="27"/>
      <c r="K108" s="27"/>
      <c r="L108" s="25" t="str">
        <f ca="1">IF(E108="","",IF(E108="Perpetua","Perpetua",IF(K108="","Sin fecha",IF(K108&lt;TODAY(),"Vencida",IF(K108-TODAY()&lt;=Listas!$T$2,"Por vencer","Vigente")))))</f>
        <v/>
      </c>
      <c r="M108" s="28"/>
      <c r="N108" s="26"/>
      <c r="O108" s="26"/>
      <c r="P108" s="26"/>
      <c r="Q108" s="26"/>
    </row>
    <row r="109" spans="1:17" x14ac:dyDescent="0.25">
      <c r="A109" s="26"/>
      <c r="B109" s="26"/>
      <c r="C109" s="26"/>
      <c r="D109" s="26"/>
      <c r="E109" s="26"/>
      <c r="F109" s="44"/>
      <c r="G109" s="44"/>
      <c r="H109" s="48" t="str">
        <f t="shared" si="3"/>
        <v/>
      </c>
      <c r="I109" s="26"/>
      <c r="J109" s="27"/>
      <c r="K109" s="27"/>
      <c r="L109" s="25" t="str">
        <f ca="1">IF(E109="","",IF(E109="Perpetua","Perpetua",IF(K109="","Sin fecha",IF(K109&lt;TODAY(),"Vencida",IF(K109-TODAY()&lt;=Listas!$T$2,"Por vencer","Vigente")))))</f>
        <v/>
      </c>
      <c r="M109" s="28"/>
      <c r="N109" s="26"/>
      <c r="O109" s="26"/>
      <c r="P109" s="26"/>
      <c r="Q109" s="26"/>
    </row>
    <row r="110" spans="1:17" x14ac:dyDescent="0.25">
      <c r="A110" s="26"/>
      <c r="B110" s="26"/>
      <c r="C110" s="26"/>
      <c r="D110" s="26"/>
      <c r="E110" s="26"/>
      <c r="F110" s="44"/>
      <c r="G110" s="44"/>
      <c r="H110" s="48" t="str">
        <f t="shared" si="3"/>
        <v/>
      </c>
      <c r="I110" s="26"/>
      <c r="J110" s="27"/>
      <c r="K110" s="27"/>
      <c r="L110" s="25" t="str">
        <f ca="1">IF(E110="","",IF(E110="Perpetua","Perpetua",IF(K110="","Sin fecha",IF(K110&lt;TODAY(),"Vencida",IF(K110-TODAY()&lt;=Listas!$T$2,"Por vencer","Vigente")))))</f>
        <v/>
      </c>
      <c r="M110" s="28"/>
      <c r="N110" s="26"/>
      <c r="O110" s="26"/>
      <c r="P110" s="26"/>
      <c r="Q110" s="26"/>
    </row>
    <row r="111" spans="1:17" x14ac:dyDescent="0.25">
      <c r="A111" s="26"/>
      <c r="B111" s="26"/>
      <c r="C111" s="26"/>
      <c r="D111" s="26"/>
      <c r="E111" s="26"/>
      <c r="F111" s="44"/>
      <c r="G111" s="44"/>
      <c r="H111" s="48" t="str">
        <f t="shared" si="3"/>
        <v/>
      </c>
      <c r="I111" s="26"/>
      <c r="J111" s="27"/>
      <c r="K111" s="27"/>
      <c r="L111" s="25" t="str">
        <f ca="1">IF(E111="","",IF(E111="Perpetua","Perpetua",IF(K111="","Sin fecha",IF(K111&lt;TODAY(),"Vencida",IF(K111-TODAY()&lt;=Listas!$T$2,"Por vencer","Vigente")))))</f>
        <v/>
      </c>
      <c r="M111" s="28"/>
      <c r="N111" s="26"/>
      <c r="O111" s="26"/>
      <c r="P111" s="26"/>
      <c r="Q111" s="26"/>
    </row>
    <row r="112" spans="1:17" x14ac:dyDescent="0.25">
      <c r="A112" s="26"/>
      <c r="B112" s="26"/>
      <c r="C112" s="26"/>
      <c r="D112" s="26"/>
      <c r="E112" s="26"/>
      <c r="F112" s="44"/>
      <c r="G112" s="44"/>
      <c r="H112" s="48" t="str">
        <f t="shared" si="3"/>
        <v/>
      </c>
      <c r="I112" s="26"/>
      <c r="J112" s="27"/>
      <c r="K112" s="27"/>
      <c r="L112" s="25" t="str">
        <f ca="1">IF(E112="","",IF(E112="Perpetua","Perpetua",IF(K112="","Sin fecha",IF(K112&lt;TODAY(),"Vencida",IF(K112-TODAY()&lt;=Listas!$T$2,"Por vencer","Vigente")))))</f>
        <v/>
      </c>
      <c r="M112" s="28"/>
      <c r="N112" s="26"/>
      <c r="O112" s="26"/>
      <c r="P112" s="26"/>
      <c r="Q112" s="26"/>
    </row>
    <row r="113" spans="1:17" x14ac:dyDescent="0.25">
      <c r="A113" s="26"/>
      <c r="B113" s="26"/>
      <c r="C113" s="26"/>
      <c r="D113" s="26"/>
      <c r="E113" s="26"/>
      <c r="F113" s="44"/>
      <c r="G113" s="44"/>
      <c r="H113" s="48" t="str">
        <f t="shared" si="3"/>
        <v/>
      </c>
      <c r="I113" s="26"/>
      <c r="J113" s="27"/>
      <c r="K113" s="27"/>
      <c r="L113" s="25" t="str">
        <f ca="1">IF(E113="","",IF(E113="Perpetua","Perpetua",IF(K113="","Sin fecha",IF(K113&lt;TODAY(),"Vencida",IF(K113-TODAY()&lt;=Listas!$T$2,"Por vencer","Vigente")))))</f>
        <v/>
      </c>
      <c r="M113" s="28"/>
      <c r="N113" s="26"/>
      <c r="O113" s="26"/>
      <c r="P113" s="26"/>
      <c r="Q113" s="26"/>
    </row>
    <row r="114" spans="1:17" x14ac:dyDescent="0.25">
      <c r="A114" s="26"/>
      <c r="B114" s="26"/>
      <c r="C114" s="26"/>
      <c r="D114" s="26"/>
      <c r="E114" s="26"/>
      <c r="F114" s="44"/>
      <c r="G114" s="44"/>
      <c r="H114" s="48" t="str">
        <f t="shared" si="3"/>
        <v/>
      </c>
      <c r="I114" s="26"/>
      <c r="J114" s="27"/>
      <c r="K114" s="27"/>
      <c r="L114" s="25" t="str">
        <f ca="1">IF(E114="","",IF(E114="Perpetua","Perpetua",IF(K114="","Sin fecha",IF(K114&lt;TODAY(),"Vencida",IF(K114-TODAY()&lt;=Listas!$T$2,"Por vencer","Vigente")))))</f>
        <v/>
      </c>
      <c r="M114" s="28"/>
      <c r="N114" s="26"/>
      <c r="O114" s="26"/>
      <c r="P114" s="26"/>
      <c r="Q114" s="26"/>
    </row>
    <row r="115" spans="1:17" x14ac:dyDescent="0.25">
      <c r="A115" s="26"/>
      <c r="B115" s="26"/>
      <c r="C115" s="26"/>
      <c r="D115" s="26"/>
      <c r="E115" s="26"/>
      <c r="F115" s="44"/>
      <c r="G115" s="44"/>
      <c r="H115" s="48" t="str">
        <f t="shared" si="3"/>
        <v/>
      </c>
      <c r="I115" s="26"/>
      <c r="J115" s="27"/>
      <c r="K115" s="27"/>
      <c r="L115" s="25" t="str">
        <f ca="1">IF(E115="","",IF(E115="Perpetua","Perpetua",IF(K115="","Sin fecha",IF(K115&lt;TODAY(),"Vencida",IF(K115-TODAY()&lt;=Listas!$T$2,"Por vencer","Vigente")))))</f>
        <v/>
      </c>
      <c r="M115" s="28"/>
      <c r="N115" s="26"/>
      <c r="O115" s="26"/>
      <c r="P115" s="26"/>
      <c r="Q115" s="26"/>
    </row>
    <row r="116" spans="1:17" x14ac:dyDescent="0.25">
      <c r="A116" s="26"/>
      <c r="B116" s="26"/>
      <c r="C116" s="26"/>
      <c r="D116" s="26"/>
      <c r="E116" s="26"/>
      <c r="F116" s="44"/>
      <c r="G116" s="44"/>
      <c r="H116" s="48" t="str">
        <f t="shared" si="3"/>
        <v/>
      </c>
      <c r="I116" s="26"/>
      <c r="J116" s="27"/>
      <c r="K116" s="27"/>
      <c r="L116" s="25" t="str">
        <f ca="1">IF(E116="","",IF(E116="Perpetua","Perpetua",IF(K116="","Sin fecha",IF(K116&lt;TODAY(),"Vencida",IF(K116-TODAY()&lt;=Listas!$T$2,"Por vencer","Vigente")))))</f>
        <v/>
      </c>
      <c r="M116" s="28"/>
      <c r="N116" s="26"/>
      <c r="O116" s="26"/>
      <c r="P116" s="26"/>
      <c r="Q116" s="26"/>
    </row>
    <row r="117" spans="1:17" x14ac:dyDescent="0.25">
      <c r="A117" s="26"/>
      <c r="B117" s="26"/>
      <c r="C117" s="26"/>
      <c r="D117" s="26"/>
      <c r="E117" s="26"/>
      <c r="F117" s="44"/>
      <c r="G117" s="44"/>
      <c r="H117" s="48" t="str">
        <f t="shared" si="3"/>
        <v/>
      </c>
      <c r="I117" s="26"/>
      <c r="J117" s="27"/>
      <c r="K117" s="27"/>
      <c r="L117" s="25" t="str">
        <f ca="1">IF(E117="","",IF(E117="Perpetua","Perpetua",IF(K117="","Sin fecha",IF(K117&lt;TODAY(),"Vencida",IF(K117-TODAY()&lt;=Listas!$T$2,"Por vencer","Vigente")))))</f>
        <v/>
      </c>
      <c r="M117" s="28"/>
      <c r="N117" s="26"/>
      <c r="O117" s="26"/>
      <c r="P117" s="26"/>
      <c r="Q117" s="26"/>
    </row>
    <row r="118" spans="1:17" x14ac:dyDescent="0.25">
      <c r="A118" s="26"/>
      <c r="B118" s="26"/>
      <c r="C118" s="26"/>
      <c r="D118" s="26"/>
      <c r="E118" s="26"/>
      <c r="F118" s="44"/>
      <c r="G118" s="44"/>
      <c r="H118" s="48" t="str">
        <f t="shared" si="3"/>
        <v/>
      </c>
      <c r="I118" s="26"/>
      <c r="J118" s="27"/>
      <c r="K118" s="27"/>
      <c r="L118" s="25" t="str">
        <f ca="1">IF(E118="","",IF(E118="Perpetua","Perpetua",IF(K118="","Sin fecha",IF(K118&lt;TODAY(),"Vencida",IF(K118-TODAY()&lt;=Listas!$T$2,"Por vencer","Vigente")))))</f>
        <v/>
      </c>
      <c r="M118" s="28"/>
      <c r="N118" s="26"/>
      <c r="O118" s="26"/>
      <c r="P118" s="26"/>
      <c r="Q118" s="26"/>
    </row>
    <row r="119" spans="1:17" x14ac:dyDescent="0.25">
      <c r="A119" s="26"/>
      <c r="B119" s="26"/>
      <c r="C119" s="26"/>
      <c r="D119" s="26"/>
      <c r="E119" s="26"/>
      <c r="F119" s="44"/>
      <c r="G119" s="44"/>
      <c r="H119" s="48" t="str">
        <f t="shared" si="3"/>
        <v/>
      </c>
      <c r="I119" s="26"/>
      <c r="J119" s="27"/>
      <c r="K119" s="27"/>
      <c r="L119" s="25" t="str">
        <f ca="1">IF(E119="","",IF(E119="Perpetua","Perpetua",IF(K119="","Sin fecha",IF(K119&lt;TODAY(),"Vencida",IF(K119-TODAY()&lt;=Listas!$T$2,"Por vencer","Vigente")))))</f>
        <v/>
      </c>
      <c r="M119" s="28"/>
      <c r="N119" s="26"/>
      <c r="O119" s="26"/>
      <c r="P119" s="26"/>
      <c r="Q119" s="26"/>
    </row>
    <row r="120" spans="1:17" x14ac:dyDescent="0.25">
      <c r="A120" s="26"/>
      <c r="B120" s="26"/>
      <c r="C120" s="26"/>
      <c r="D120" s="26"/>
      <c r="E120" s="26"/>
      <c r="F120" s="44"/>
      <c r="G120" s="44"/>
      <c r="H120" s="48" t="str">
        <f t="shared" si="3"/>
        <v/>
      </c>
      <c r="I120" s="26"/>
      <c r="J120" s="27"/>
      <c r="K120" s="27"/>
      <c r="L120" s="25" t="str">
        <f ca="1">IF(E120="","",IF(E120="Perpetua","Perpetua",IF(K120="","Sin fecha",IF(K120&lt;TODAY(),"Vencida",IF(K120-TODAY()&lt;=Listas!$T$2,"Por vencer","Vigente")))))</f>
        <v/>
      </c>
      <c r="M120" s="28"/>
      <c r="N120" s="26"/>
      <c r="O120" s="26"/>
      <c r="P120" s="26"/>
      <c r="Q120" s="26"/>
    </row>
    <row r="121" spans="1:17" x14ac:dyDescent="0.25">
      <c r="A121" s="26"/>
      <c r="B121" s="26"/>
      <c r="C121" s="26"/>
      <c r="D121" s="26"/>
      <c r="E121" s="26"/>
      <c r="F121" s="44"/>
      <c r="G121" s="44"/>
      <c r="H121" s="48" t="str">
        <f t="shared" si="3"/>
        <v/>
      </c>
      <c r="I121" s="26"/>
      <c r="J121" s="27"/>
      <c r="K121" s="27"/>
      <c r="L121" s="25" t="str">
        <f ca="1">IF(E121="","",IF(E121="Perpetua","Perpetua",IF(K121="","Sin fecha",IF(K121&lt;TODAY(),"Vencida",IF(K121-TODAY()&lt;=Listas!$T$2,"Por vencer","Vigente")))))</f>
        <v/>
      </c>
      <c r="M121" s="28"/>
      <c r="N121" s="26"/>
      <c r="O121" s="26"/>
      <c r="P121" s="26"/>
      <c r="Q121" s="26"/>
    </row>
    <row r="122" spans="1:17" x14ac:dyDescent="0.25">
      <c r="A122" s="26"/>
      <c r="B122" s="26"/>
      <c r="C122" s="26"/>
      <c r="D122" s="26"/>
      <c r="E122" s="26"/>
      <c r="F122" s="44"/>
      <c r="G122" s="44"/>
      <c r="H122" s="48" t="str">
        <f t="shared" si="3"/>
        <v/>
      </c>
      <c r="I122" s="26"/>
      <c r="J122" s="27"/>
      <c r="K122" s="27"/>
      <c r="L122" s="25" t="str">
        <f ca="1">IF(E122="","",IF(E122="Perpetua","Perpetua",IF(K122="","Sin fecha",IF(K122&lt;TODAY(),"Vencida",IF(K122-TODAY()&lt;=Listas!$T$2,"Por vencer","Vigente")))))</f>
        <v/>
      </c>
      <c r="M122" s="28"/>
      <c r="N122" s="26"/>
      <c r="O122" s="26"/>
      <c r="P122" s="26"/>
      <c r="Q122" s="26"/>
    </row>
    <row r="123" spans="1:17" x14ac:dyDescent="0.25">
      <c r="A123" s="26"/>
      <c r="B123" s="26"/>
      <c r="C123" s="26"/>
      <c r="D123" s="26"/>
      <c r="E123" s="26"/>
      <c r="F123" s="44"/>
      <c r="G123" s="44"/>
      <c r="H123" s="48" t="str">
        <f t="shared" si="3"/>
        <v/>
      </c>
      <c r="I123" s="26"/>
      <c r="J123" s="27"/>
      <c r="K123" s="27"/>
      <c r="L123" s="25" t="str">
        <f ca="1">IF(E123="","",IF(E123="Perpetua","Perpetua",IF(K123="","Sin fecha",IF(K123&lt;TODAY(),"Vencida",IF(K123-TODAY()&lt;=Listas!$T$2,"Por vencer","Vigente")))))</f>
        <v/>
      </c>
      <c r="M123" s="28"/>
      <c r="N123" s="26"/>
      <c r="O123" s="26"/>
      <c r="P123" s="26"/>
      <c r="Q123" s="26"/>
    </row>
    <row r="124" spans="1:17" x14ac:dyDescent="0.25">
      <c r="A124" s="26"/>
      <c r="B124" s="26"/>
      <c r="C124" s="26"/>
      <c r="D124" s="26"/>
      <c r="E124" s="26"/>
      <c r="F124" s="44"/>
      <c r="G124" s="44"/>
      <c r="H124" s="48" t="str">
        <f t="shared" si="3"/>
        <v/>
      </c>
      <c r="I124" s="26"/>
      <c r="J124" s="27"/>
      <c r="K124" s="27"/>
      <c r="L124" s="25" t="str">
        <f ca="1">IF(E124="","",IF(E124="Perpetua","Perpetua",IF(K124="","Sin fecha",IF(K124&lt;TODAY(),"Vencida",IF(K124-TODAY()&lt;=Listas!$T$2,"Por vencer","Vigente")))))</f>
        <v/>
      </c>
      <c r="M124" s="28"/>
      <c r="N124" s="26"/>
      <c r="O124" s="26"/>
      <c r="P124" s="26"/>
      <c r="Q124" s="26"/>
    </row>
    <row r="125" spans="1:17" x14ac:dyDescent="0.25">
      <c r="A125" s="26"/>
      <c r="B125" s="26"/>
      <c r="C125" s="26"/>
      <c r="D125" s="26"/>
      <c r="E125" s="26"/>
      <c r="F125" s="44"/>
      <c r="G125" s="44"/>
      <c r="H125" s="48" t="str">
        <f t="shared" si="3"/>
        <v/>
      </c>
      <c r="I125" s="26"/>
      <c r="J125" s="27"/>
      <c r="K125" s="27"/>
      <c r="L125" s="25" t="str">
        <f ca="1">IF(E125="","",IF(E125="Perpetua","Perpetua",IF(K125="","Sin fecha",IF(K125&lt;TODAY(),"Vencida",IF(K125-TODAY()&lt;=Listas!$T$2,"Por vencer","Vigente")))))</f>
        <v/>
      </c>
      <c r="M125" s="28"/>
      <c r="N125" s="26"/>
      <c r="O125" s="26"/>
      <c r="P125" s="26"/>
      <c r="Q125" s="26"/>
    </row>
    <row r="126" spans="1:17" x14ac:dyDescent="0.25">
      <c r="A126" s="26"/>
      <c r="B126" s="26"/>
      <c r="C126" s="26"/>
      <c r="D126" s="26"/>
      <c r="E126" s="26"/>
      <c r="F126" s="44"/>
      <c r="G126" s="44"/>
      <c r="H126" s="48" t="str">
        <f t="shared" si="3"/>
        <v/>
      </c>
      <c r="I126" s="26"/>
      <c r="J126" s="27"/>
      <c r="K126" s="27"/>
      <c r="L126" s="25" t="str">
        <f ca="1">IF(E126="","",IF(E126="Perpetua","Perpetua",IF(K126="","Sin fecha",IF(K126&lt;TODAY(),"Vencida",IF(K126-TODAY()&lt;=Listas!$T$2,"Por vencer","Vigente")))))</f>
        <v/>
      </c>
      <c r="M126" s="28"/>
      <c r="N126" s="26"/>
      <c r="O126" s="26"/>
      <c r="P126" s="26"/>
      <c r="Q126" s="26"/>
    </row>
    <row r="127" spans="1:17" x14ac:dyDescent="0.25">
      <c r="A127" s="26"/>
      <c r="B127" s="26"/>
      <c r="C127" s="26"/>
      <c r="D127" s="26"/>
      <c r="E127" s="26"/>
      <c r="F127" s="44"/>
      <c r="G127" s="44"/>
      <c r="H127" s="48" t="str">
        <f t="shared" si="3"/>
        <v/>
      </c>
      <c r="I127" s="26"/>
      <c r="J127" s="27"/>
      <c r="K127" s="27"/>
      <c r="L127" s="25" t="str">
        <f ca="1">IF(E127="","",IF(E127="Perpetua","Perpetua",IF(K127="","Sin fecha",IF(K127&lt;TODAY(),"Vencida",IF(K127-TODAY()&lt;=Listas!$T$2,"Por vencer","Vigente")))))</f>
        <v/>
      </c>
      <c r="M127" s="28"/>
      <c r="N127" s="26"/>
      <c r="O127" s="26"/>
      <c r="P127" s="26"/>
      <c r="Q127" s="26"/>
    </row>
    <row r="128" spans="1:17" x14ac:dyDescent="0.25">
      <c r="A128" s="26"/>
      <c r="B128" s="26"/>
      <c r="C128" s="26"/>
      <c r="D128" s="26"/>
      <c r="E128" s="26"/>
      <c r="F128" s="44"/>
      <c r="G128" s="44"/>
      <c r="H128" s="48" t="str">
        <f t="shared" si="3"/>
        <v/>
      </c>
      <c r="I128" s="26"/>
      <c r="J128" s="27"/>
      <c r="K128" s="27"/>
      <c r="L128" s="25" t="str">
        <f ca="1">IF(E128="","",IF(E128="Perpetua","Perpetua",IF(K128="","Sin fecha",IF(K128&lt;TODAY(),"Vencida",IF(K128-TODAY()&lt;=Listas!$T$2,"Por vencer","Vigente")))))</f>
        <v/>
      </c>
      <c r="M128" s="28"/>
      <c r="N128" s="26"/>
      <c r="O128" s="26"/>
      <c r="P128" s="26"/>
      <c r="Q128" s="26"/>
    </row>
    <row r="129" spans="1:17" x14ac:dyDescent="0.25">
      <c r="A129" s="26"/>
      <c r="B129" s="26"/>
      <c r="C129" s="26"/>
      <c r="D129" s="26"/>
      <c r="E129" s="26"/>
      <c r="F129" s="44"/>
      <c r="G129" s="44"/>
      <c r="H129" s="48" t="str">
        <f t="shared" si="3"/>
        <v/>
      </c>
      <c r="I129" s="26"/>
      <c r="J129" s="27"/>
      <c r="K129" s="27"/>
      <c r="L129" s="25" t="str">
        <f ca="1">IF(E129="","",IF(E129="Perpetua","Perpetua",IF(K129="","Sin fecha",IF(K129&lt;TODAY(),"Vencida",IF(K129-TODAY()&lt;=Listas!$T$2,"Por vencer","Vigente")))))</f>
        <v/>
      </c>
      <c r="M129" s="28"/>
      <c r="N129" s="26"/>
      <c r="O129" s="26"/>
      <c r="P129" s="26"/>
      <c r="Q129" s="26"/>
    </row>
    <row r="130" spans="1:17" x14ac:dyDescent="0.25">
      <c r="A130" s="26"/>
      <c r="B130" s="26"/>
      <c r="C130" s="26"/>
      <c r="D130" s="26"/>
      <c r="E130" s="26"/>
      <c r="F130" s="44"/>
      <c r="G130" s="44"/>
      <c r="H130" s="48" t="str">
        <f t="shared" si="3"/>
        <v/>
      </c>
      <c r="I130" s="26"/>
      <c r="J130" s="27"/>
      <c r="K130" s="27"/>
      <c r="L130" s="25" t="str">
        <f ca="1">IF(E130="","",IF(E130="Perpetua","Perpetua",IF(K130="","Sin fecha",IF(K130&lt;TODAY(),"Vencida",IF(K130-TODAY()&lt;=Listas!$T$2,"Por vencer","Vigente")))))</f>
        <v/>
      </c>
      <c r="M130" s="28"/>
      <c r="N130" s="26"/>
      <c r="O130" s="26"/>
      <c r="P130" s="26"/>
      <c r="Q130" s="26"/>
    </row>
    <row r="131" spans="1:17" x14ac:dyDescent="0.25">
      <c r="A131" s="26"/>
      <c r="B131" s="26"/>
      <c r="C131" s="26"/>
      <c r="D131" s="26"/>
      <c r="E131" s="26"/>
      <c r="F131" s="44"/>
      <c r="G131" s="44"/>
      <c r="H131" s="48" t="str">
        <f t="shared" si="3"/>
        <v/>
      </c>
      <c r="I131" s="26"/>
      <c r="J131" s="27"/>
      <c r="K131" s="27"/>
      <c r="L131" s="25" t="str">
        <f ca="1">IF(E131="","",IF(E131="Perpetua","Perpetua",IF(K131="","Sin fecha",IF(K131&lt;TODAY(),"Vencida",IF(K131-TODAY()&lt;=Listas!$T$2,"Por vencer","Vigente")))))</f>
        <v/>
      </c>
      <c r="M131" s="28"/>
      <c r="N131" s="26"/>
      <c r="O131" s="26"/>
      <c r="P131" s="26"/>
      <c r="Q131" s="26"/>
    </row>
    <row r="132" spans="1:17" x14ac:dyDescent="0.25">
      <c r="A132" s="26"/>
      <c r="B132" s="26"/>
      <c r="C132" s="26"/>
      <c r="D132" s="26"/>
      <c r="E132" s="26"/>
      <c r="F132" s="44"/>
      <c r="G132" s="44"/>
      <c r="H132" s="48" t="str">
        <f t="shared" si="3"/>
        <v/>
      </c>
      <c r="I132" s="26"/>
      <c r="J132" s="27"/>
      <c r="K132" s="27"/>
      <c r="L132" s="25" t="str">
        <f ca="1">IF(E132="","",IF(E132="Perpetua","Perpetua",IF(K132="","Sin fecha",IF(K132&lt;TODAY(),"Vencida",IF(K132-TODAY()&lt;=Listas!$T$2,"Por vencer","Vigente")))))</f>
        <v/>
      </c>
      <c r="M132" s="28"/>
      <c r="N132" s="26"/>
      <c r="O132" s="26"/>
      <c r="P132" s="26"/>
      <c r="Q132" s="26"/>
    </row>
    <row r="133" spans="1:17" x14ac:dyDescent="0.25">
      <c r="A133" s="26"/>
      <c r="B133" s="26"/>
      <c r="C133" s="26"/>
      <c r="D133" s="26"/>
      <c r="E133" s="26"/>
      <c r="F133" s="44"/>
      <c r="G133" s="44"/>
      <c r="H133" s="48" t="str">
        <f t="shared" ref="H133:H164" si="4">IF(F133="","",F133-G133)</f>
        <v/>
      </c>
      <c r="I133" s="26"/>
      <c r="J133" s="27"/>
      <c r="K133" s="27"/>
      <c r="L133" s="25" t="str">
        <f ca="1">IF(E133="","",IF(E133="Perpetua","Perpetua",IF(K133="","Sin fecha",IF(K133&lt;TODAY(),"Vencida",IF(K133-TODAY()&lt;=Listas!$T$2,"Por vencer","Vigente")))))</f>
        <v/>
      </c>
      <c r="M133" s="28"/>
      <c r="N133" s="26"/>
      <c r="O133" s="26"/>
      <c r="P133" s="26"/>
      <c r="Q133" s="26"/>
    </row>
    <row r="134" spans="1:17" x14ac:dyDescent="0.25">
      <c r="A134" s="26"/>
      <c r="B134" s="26"/>
      <c r="C134" s="26"/>
      <c r="D134" s="26"/>
      <c r="E134" s="26"/>
      <c r="F134" s="44"/>
      <c r="G134" s="44"/>
      <c r="H134" s="48" t="str">
        <f t="shared" si="4"/>
        <v/>
      </c>
      <c r="I134" s="26"/>
      <c r="J134" s="27"/>
      <c r="K134" s="27"/>
      <c r="L134" s="25" t="str">
        <f ca="1">IF(E134="","",IF(E134="Perpetua","Perpetua",IF(K134="","Sin fecha",IF(K134&lt;TODAY(),"Vencida",IF(K134-TODAY()&lt;=Listas!$T$2,"Por vencer","Vigente")))))</f>
        <v/>
      </c>
      <c r="M134" s="28"/>
      <c r="N134" s="26"/>
      <c r="O134" s="26"/>
      <c r="P134" s="26"/>
      <c r="Q134" s="26"/>
    </row>
    <row r="135" spans="1:17" x14ac:dyDescent="0.25">
      <c r="A135" s="26"/>
      <c r="B135" s="26"/>
      <c r="C135" s="26"/>
      <c r="D135" s="26"/>
      <c r="E135" s="26"/>
      <c r="F135" s="44"/>
      <c r="G135" s="44"/>
      <c r="H135" s="48" t="str">
        <f t="shared" si="4"/>
        <v/>
      </c>
      <c r="I135" s="26"/>
      <c r="J135" s="27"/>
      <c r="K135" s="27"/>
      <c r="L135" s="25" t="str">
        <f ca="1">IF(E135="","",IF(E135="Perpetua","Perpetua",IF(K135="","Sin fecha",IF(K135&lt;TODAY(),"Vencida",IF(K135-TODAY()&lt;=Listas!$T$2,"Por vencer","Vigente")))))</f>
        <v/>
      </c>
      <c r="M135" s="28"/>
      <c r="N135" s="26"/>
      <c r="O135" s="26"/>
      <c r="P135" s="26"/>
      <c r="Q135" s="26"/>
    </row>
    <row r="136" spans="1:17" x14ac:dyDescent="0.25">
      <c r="A136" s="26"/>
      <c r="B136" s="26"/>
      <c r="C136" s="26"/>
      <c r="D136" s="26"/>
      <c r="E136" s="26"/>
      <c r="F136" s="44"/>
      <c r="G136" s="44"/>
      <c r="H136" s="48" t="str">
        <f t="shared" si="4"/>
        <v/>
      </c>
      <c r="I136" s="26"/>
      <c r="J136" s="27"/>
      <c r="K136" s="27"/>
      <c r="L136" s="25" t="str">
        <f ca="1">IF(E136="","",IF(E136="Perpetua","Perpetua",IF(K136="","Sin fecha",IF(K136&lt;TODAY(),"Vencida",IF(K136-TODAY()&lt;=Listas!$T$2,"Por vencer","Vigente")))))</f>
        <v/>
      </c>
      <c r="M136" s="28"/>
      <c r="N136" s="26"/>
      <c r="O136" s="26"/>
      <c r="P136" s="26"/>
      <c r="Q136" s="26"/>
    </row>
    <row r="137" spans="1:17" x14ac:dyDescent="0.25">
      <c r="A137" s="26"/>
      <c r="B137" s="26"/>
      <c r="C137" s="26"/>
      <c r="D137" s="26"/>
      <c r="E137" s="26"/>
      <c r="F137" s="44"/>
      <c r="G137" s="44"/>
      <c r="H137" s="48" t="str">
        <f t="shared" si="4"/>
        <v/>
      </c>
      <c r="I137" s="26"/>
      <c r="J137" s="27"/>
      <c r="K137" s="27"/>
      <c r="L137" s="25" t="str">
        <f ca="1">IF(E137="","",IF(E137="Perpetua","Perpetua",IF(K137="","Sin fecha",IF(K137&lt;TODAY(),"Vencida",IF(K137-TODAY()&lt;=Listas!$T$2,"Por vencer","Vigente")))))</f>
        <v/>
      </c>
      <c r="M137" s="28"/>
      <c r="N137" s="26"/>
      <c r="O137" s="26"/>
      <c r="P137" s="26"/>
      <c r="Q137" s="26"/>
    </row>
    <row r="138" spans="1:17" x14ac:dyDescent="0.25">
      <c r="A138" s="26"/>
      <c r="B138" s="26"/>
      <c r="C138" s="26"/>
      <c r="D138" s="26"/>
      <c r="E138" s="26"/>
      <c r="F138" s="44"/>
      <c r="G138" s="44"/>
      <c r="H138" s="48" t="str">
        <f t="shared" si="4"/>
        <v/>
      </c>
      <c r="I138" s="26"/>
      <c r="J138" s="27"/>
      <c r="K138" s="27"/>
      <c r="L138" s="25" t="str">
        <f ca="1">IF(E138="","",IF(E138="Perpetua","Perpetua",IF(K138="","Sin fecha",IF(K138&lt;TODAY(),"Vencida",IF(K138-TODAY()&lt;=Listas!$T$2,"Por vencer","Vigente")))))</f>
        <v/>
      </c>
      <c r="M138" s="28"/>
      <c r="N138" s="26"/>
      <c r="O138" s="26"/>
      <c r="P138" s="26"/>
      <c r="Q138" s="26"/>
    </row>
    <row r="139" spans="1:17" x14ac:dyDescent="0.25">
      <c r="A139" s="26"/>
      <c r="B139" s="26"/>
      <c r="C139" s="26"/>
      <c r="D139" s="26"/>
      <c r="E139" s="26"/>
      <c r="F139" s="44"/>
      <c r="G139" s="44"/>
      <c r="H139" s="48" t="str">
        <f t="shared" si="4"/>
        <v/>
      </c>
      <c r="I139" s="26"/>
      <c r="J139" s="27"/>
      <c r="K139" s="27"/>
      <c r="L139" s="25" t="str">
        <f ca="1">IF(E139="","",IF(E139="Perpetua","Perpetua",IF(K139="","Sin fecha",IF(K139&lt;TODAY(),"Vencida",IF(K139-TODAY()&lt;=Listas!$T$2,"Por vencer","Vigente")))))</f>
        <v/>
      </c>
      <c r="M139" s="28"/>
      <c r="N139" s="26"/>
      <c r="O139" s="26"/>
      <c r="P139" s="26"/>
      <c r="Q139" s="26"/>
    </row>
    <row r="140" spans="1:17" x14ac:dyDescent="0.25">
      <c r="A140" s="26"/>
      <c r="B140" s="26"/>
      <c r="C140" s="26"/>
      <c r="D140" s="26"/>
      <c r="E140" s="26"/>
      <c r="F140" s="44"/>
      <c r="G140" s="44"/>
      <c r="H140" s="48" t="str">
        <f t="shared" si="4"/>
        <v/>
      </c>
      <c r="I140" s="26"/>
      <c r="J140" s="27"/>
      <c r="K140" s="27"/>
      <c r="L140" s="25" t="str">
        <f ca="1">IF(E140="","",IF(E140="Perpetua","Perpetua",IF(K140="","Sin fecha",IF(K140&lt;TODAY(),"Vencida",IF(K140-TODAY()&lt;=Listas!$T$2,"Por vencer","Vigente")))))</f>
        <v/>
      </c>
      <c r="M140" s="28"/>
      <c r="N140" s="26"/>
      <c r="O140" s="26"/>
      <c r="P140" s="26"/>
      <c r="Q140" s="26"/>
    </row>
    <row r="141" spans="1:17" x14ac:dyDescent="0.25">
      <c r="A141" s="26"/>
      <c r="B141" s="26"/>
      <c r="C141" s="26"/>
      <c r="D141" s="26"/>
      <c r="E141" s="26"/>
      <c r="F141" s="44"/>
      <c r="G141" s="44"/>
      <c r="H141" s="48" t="str">
        <f t="shared" si="4"/>
        <v/>
      </c>
      <c r="I141" s="26"/>
      <c r="J141" s="27"/>
      <c r="K141" s="27"/>
      <c r="L141" s="25" t="str">
        <f ca="1">IF(E141="","",IF(E141="Perpetua","Perpetua",IF(K141="","Sin fecha",IF(K141&lt;TODAY(),"Vencida",IF(K141-TODAY()&lt;=Listas!$T$2,"Por vencer","Vigente")))))</f>
        <v/>
      </c>
      <c r="M141" s="28"/>
      <c r="N141" s="26"/>
      <c r="O141" s="26"/>
      <c r="P141" s="26"/>
      <c r="Q141" s="26"/>
    </row>
    <row r="142" spans="1:17" x14ac:dyDescent="0.25">
      <c r="A142" s="26"/>
      <c r="B142" s="26"/>
      <c r="C142" s="26"/>
      <c r="D142" s="26"/>
      <c r="E142" s="26"/>
      <c r="F142" s="44"/>
      <c r="G142" s="44"/>
      <c r="H142" s="48" t="str">
        <f t="shared" si="4"/>
        <v/>
      </c>
      <c r="I142" s="26"/>
      <c r="J142" s="27"/>
      <c r="K142" s="27"/>
      <c r="L142" s="25" t="str">
        <f ca="1">IF(E142="","",IF(E142="Perpetua","Perpetua",IF(K142="","Sin fecha",IF(K142&lt;TODAY(),"Vencida",IF(K142-TODAY()&lt;=Listas!$T$2,"Por vencer","Vigente")))))</f>
        <v/>
      </c>
      <c r="M142" s="28"/>
      <c r="N142" s="26"/>
      <c r="O142" s="26"/>
      <c r="P142" s="26"/>
      <c r="Q142" s="26"/>
    </row>
    <row r="143" spans="1:17" x14ac:dyDescent="0.25">
      <c r="A143" s="26"/>
      <c r="B143" s="26"/>
      <c r="C143" s="26"/>
      <c r="D143" s="26"/>
      <c r="E143" s="26"/>
      <c r="F143" s="44"/>
      <c r="G143" s="44"/>
      <c r="H143" s="48" t="str">
        <f t="shared" si="4"/>
        <v/>
      </c>
      <c r="I143" s="26"/>
      <c r="J143" s="27"/>
      <c r="K143" s="27"/>
      <c r="L143" s="25" t="str">
        <f ca="1">IF(E143="","",IF(E143="Perpetua","Perpetua",IF(K143="","Sin fecha",IF(K143&lt;TODAY(),"Vencida",IF(K143-TODAY()&lt;=Listas!$T$2,"Por vencer","Vigente")))))</f>
        <v/>
      </c>
      <c r="M143" s="28"/>
      <c r="N143" s="26"/>
      <c r="O143" s="26"/>
      <c r="P143" s="26"/>
      <c r="Q143" s="26"/>
    </row>
    <row r="144" spans="1:17" x14ac:dyDescent="0.25">
      <c r="A144" s="26"/>
      <c r="B144" s="26"/>
      <c r="C144" s="26"/>
      <c r="D144" s="26"/>
      <c r="E144" s="26"/>
      <c r="F144" s="44"/>
      <c r="G144" s="44"/>
      <c r="H144" s="48" t="str">
        <f t="shared" si="4"/>
        <v/>
      </c>
      <c r="I144" s="26"/>
      <c r="J144" s="27"/>
      <c r="K144" s="27"/>
      <c r="L144" s="25" t="str">
        <f ca="1">IF(E144="","",IF(E144="Perpetua","Perpetua",IF(K144="","Sin fecha",IF(K144&lt;TODAY(),"Vencida",IF(K144-TODAY()&lt;=Listas!$T$2,"Por vencer","Vigente")))))</f>
        <v/>
      </c>
      <c r="M144" s="28"/>
      <c r="N144" s="26"/>
      <c r="O144" s="26"/>
      <c r="P144" s="26"/>
      <c r="Q144" s="26"/>
    </row>
    <row r="145" spans="1:17" x14ac:dyDescent="0.25">
      <c r="A145" s="26"/>
      <c r="B145" s="26"/>
      <c r="C145" s="26"/>
      <c r="D145" s="26"/>
      <c r="E145" s="26"/>
      <c r="F145" s="44"/>
      <c r="G145" s="44"/>
      <c r="H145" s="48" t="str">
        <f t="shared" si="4"/>
        <v/>
      </c>
      <c r="I145" s="26"/>
      <c r="J145" s="27"/>
      <c r="K145" s="27"/>
      <c r="L145" s="25" t="str">
        <f ca="1">IF(E145="","",IF(E145="Perpetua","Perpetua",IF(K145="","Sin fecha",IF(K145&lt;TODAY(),"Vencida",IF(K145-TODAY()&lt;=Listas!$T$2,"Por vencer","Vigente")))))</f>
        <v/>
      </c>
      <c r="M145" s="28"/>
      <c r="N145" s="26"/>
      <c r="O145" s="26"/>
      <c r="P145" s="26"/>
      <c r="Q145" s="26"/>
    </row>
    <row r="146" spans="1:17" x14ac:dyDescent="0.25">
      <c r="A146" s="26"/>
      <c r="B146" s="26"/>
      <c r="C146" s="26"/>
      <c r="D146" s="26"/>
      <c r="E146" s="26"/>
      <c r="F146" s="44"/>
      <c r="G146" s="44"/>
      <c r="H146" s="48" t="str">
        <f t="shared" si="4"/>
        <v/>
      </c>
      <c r="I146" s="26"/>
      <c r="J146" s="27"/>
      <c r="K146" s="27"/>
      <c r="L146" s="25" t="str">
        <f ca="1">IF(E146="","",IF(E146="Perpetua","Perpetua",IF(K146="","Sin fecha",IF(K146&lt;TODAY(),"Vencida",IF(K146-TODAY()&lt;=Listas!$T$2,"Por vencer","Vigente")))))</f>
        <v/>
      </c>
      <c r="M146" s="28"/>
      <c r="N146" s="26"/>
      <c r="O146" s="26"/>
      <c r="P146" s="26"/>
      <c r="Q146" s="26"/>
    </row>
    <row r="147" spans="1:17" x14ac:dyDescent="0.25">
      <c r="A147" s="26"/>
      <c r="B147" s="26"/>
      <c r="C147" s="26"/>
      <c r="D147" s="26"/>
      <c r="E147" s="26"/>
      <c r="F147" s="44"/>
      <c r="G147" s="44"/>
      <c r="H147" s="48" t="str">
        <f t="shared" si="4"/>
        <v/>
      </c>
      <c r="I147" s="26"/>
      <c r="J147" s="27"/>
      <c r="K147" s="27"/>
      <c r="L147" s="25" t="str">
        <f ca="1">IF(E147="","",IF(E147="Perpetua","Perpetua",IF(K147="","Sin fecha",IF(K147&lt;TODAY(),"Vencida",IF(K147-TODAY()&lt;=Listas!$T$2,"Por vencer","Vigente")))))</f>
        <v/>
      </c>
      <c r="M147" s="28"/>
      <c r="N147" s="26"/>
      <c r="O147" s="26"/>
      <c r="P147" s="26"/>
      <c r="Q147" s="26"/>
    </row>
    <row r="148" spans="1:17" x14ac:dyDescent="0.25">
      <c r="A148" s="26"/>
      <c r="B148" s="26"/>
      <c r="C148" s="26"/>
      <c r="D148" s="26"/>
      <c r="E148" s="26"/>
      <c r="F148" s="44"/>
      <c r="G148" s="44"/>
      <c r="H148" s="48" t="str">
        <f t="shared" si="4"/>
        <v/>
      </c>
      <c r="I148" s="26"/>
      <c r="J148" s="27"/>
      <c r="K148" s="27"/>
      <c r="L148" s="25" t="str">
        <f ca="1">IF(E148="","",IF(E148="Perpetua","Perpetua",IF(K148="","Sin fecha",IF(K148&lt;TODAY(),"Vencida",IF(K148-TODAY()&lt;=Listas!$T$2,"Por vencer","Vigente")))))</f>
        <v/>
      </c>
      <c r="M148" s="28"/>
      <c r="N148" s="26"/>
      <c r="O148" s="26"/>
      <c r="P148" s="26"/>
      <c r="Q148" s="26"/>
    </row>
    <row r="149" spans="1:17" x14ac:dyDescent="0.25">
      <c r="A149" s="26"/>
      <c r="B149" s="26"/>
      <c r="C149" s="26"/>
      <c r="D149" s="26"/>
      <c r="E149" s="26"/>
      <c r="F149" s="44"/>
      <c r="G149" s="44"/>
      <c r="H149" s="48" t="str">
        <f t="shared" si="4"/>
        <v/>
      </c>
      <c r="I149" s="26"/>
      <c r="J149" s="27"/>
      <c r="K149" s="27"/>
      <c r="L149" s="25" t="str">
        <f ca="1">IF(E149="","",IF(E149="Perpetua","Perpetua",IF(K149="","Sin fecha",IF(K149&lt;TODAY(),"Vencida",IF(K149-TODAY()&lt;=Listas!$T$2,"Por vencer","Vigente")))))</f>
        <v/>
      </c>
      <c r="M149" s="28"/>
      <c r="N149" s="26"/>
      <c r="O149" s="26"/>
      <c r="P149" s="26"/>
      <c r="Q149" s="26"/>
    </row>
    <row r="150" spans="1:17" x14ac:dyDescent="0.25">
      <c r="A150" s="26"/>
      <c r="B150" s="26"/>
      <c r="C150" s="26"/>
      <c r="D150" s="26"/>
      <c r="E150" s="26"/>
      <c r="F150" s="44"/>
      <c r="G150" s="44"/>
      <c r="H150" s="48" t="str">
        <f t="shared" si="4"/>
        <v/>
      </c>
      <c r="I150" s="26"/>
      <c r="J150" s="27"/>
      <c r="K150" s="27"/>
      <c r="L150" s="25" t="str">
        <f ca="1">IF(E150="","",IF(E150="Perpetua","Perpetua",IF(K150="","Sin fecha",IF(K150&lt;TODAY(),"Vencida",IF(K150-TODAY()&lt;=Listas!$T$2,"Por vencer","Vigente")))))</f>
        <v/>
      </c>
      <c r="M150" s="28"/>
      <c r="N150" s="26"/>
      <c r="O150" s="26"/>
      <c r="P150" s="26"/>
      <c r="Q150" s="26"/>
    </row>
    <row r="151" spans="1:17" x14ac:dyDescent="0.25">
      <c r="A151" s="26"/>
      <c r="B151" s="26"/>
      <c r="C151" s="26"/>
      <c r="D151" s="26"/>
      <c r="E151" s="26"/>
      <c r="F151" s="44"/>
      <c r="G151" s="44"/>
      <c r="H151" s="48" t="str">
        <f t="shared" si="4"/>
        <v/>
      </c>
      <c r="I151" s="26"/>
      <c r="J151" s="27"/>
      <c r="K151" s="27"/>
      <c r="L151" s="25" t="str">
        <f ca="1">IF(E151="","",IF(E151="Perpetua","Perpetua",IF(K151="","Sin fecha",IF(K151&lt;TODAY(),"Vencida",IF(K151-TODAY()&lt;=Listas!$T$2,"Por vencer","Vigente")))))</f>
        <v/>
      </c>
      <c r="M151" s="28"/>
      <c r="N151" s="26"/>
      <c r="O151" s="26"/>
      <c r="P151" s="26"/>
      <c r="Q151" s="26"/>
    </row>
    <row r="152" spans="1:17" x14ac:dyDescent="0.25">
      <c r="A152" s="26"/>
      <c r="B152" s="26"/>
      <c r="C152" s="26"/>
      <c r="D152" s="26"/>
      <c r="E152" s="26"/>
      <c r="F152" s="44"/>
      <c r="G152" s="44"/>
      <c r="H152" s="48" t="str">
        <f t="shared" si="4"/>
        <v/>
      </c>
      <c r="I152" s="26"/>
      <c r="J152" s="27"/>
      <c r="K152" s="27"/>
      <c r="L152" s="25" t="str">
        <f ca="1">IF(E152="","",IF(E152="Perpetua","Perpetua",IF(K152="","Sin fecha",IF(K152&lt;TODAY(),"Vencida",IF(K152-TODAY()&lt;=Listas!$T$2,"Por vencer","Vigente")))))</f>
        <v/>
      </c>
      <c r="M152" s="28"/>
      <c r="N152" s="26"/>
      <c r="O152" s="26"/>
      <c r="P152" s="26"/>
      <c r="Q152" s="26"/>
    </row>
    <row r="153" spans="1:17" x14ac:dyDescent="0.25">
      <c r="A153" s="26"/>
      <c r="B153" s="26"/>
      <c r="C153" s="26"/>
      <c r="D153" s="26"/>
      <c r="E153" s="26"/>
      <c r="F153" s="44"/>
      <c r="G153" s="44"/>
      <c r="H153" s="48" t="str">
        <f t="shared" si="4"/>
        <v/>
      </c>
      <c r="I153" s="26"/>
      <c r="J153" s="27"/>
      <c r="K153" s="27"/>
      <c r="L153" s="25" t="str">
        <f ca="1">IF(E153="","",IF(E153="Perpetua","Perpetua",IF(K153="","Sin fecha",IF(K153&lt;TODAY(),"Vencida",IF(K153-TODAY()&lt;=Listas!$T$2,"Por vencer","Vigente")))))</f>
        <v/>
      </c>
      <c r="M153" s="28"/>
      <c r="N153" s="26"/>
      <c r="O153" s="26"/>
      <c r="P153" s="26"/>
      <c r="Q153" s="26"/>
    </row>
    <row r="154" spans="1:17" x14ac:dyDescent="0.25">
      <c r="A154" s="26"/>
      <c r="B154" s="26"/>
      <c r="C154" s="26"/>
      <c r="D154" s="26"/>
      <c r="E154" s="26"/>
      <c r="F154" s="44"/>
      <c r="G154" s="44"/>
      <c r="H154" s="48" t="str">
        <f t="shared" si="4"/>
        <v/>
      </c>
      <c r="I154" s="26"/>
      <c r="J154" s="27"/>
      <c r="K154" s="27"/>
      <c r="L154" s="25" t="str">
        <f ca="1">IF(E154="","",IF(E154="Perpetua","Perpetua",IF(K154="","Sin fecha",IF(K154&lt;TODAY(),"Vencida",IF(K154-TODAY()&lt;=Listas!$T$2,"Por vencer","Vigente")))))</f>
        <v/>
      </c>
      <c r="M154" s="28"/>
      <c r="N154" s="26"/>
      <c r="O154" s="26"/>
      <c r="P154" s="26"/>
      <c r="Q154" s="26"/>
    </row>
    <row r="155" spans="1:17" x14ac:dyDescent="0.25">
      <c r="A155" s="26"/>
      <c r="B155" s="26"/>
      <c r="C155" s="26"/>
      <c r="D155" s="26"/>
      <c r="E155" s="26"/>
      <c r="F155" s="44"/>
      <c r="G155" s="44"/>
      <c r="H155" s="48" t="str">
        <f t="shared" si="4"/>
        <v/>
      </c>
      <c r="I155" s="26"/>
      <c r="J155" s="27"/>
      <c r="K155" s="27"/>
      <c r="L155" s="25" t="str">
        <f ca="1">IF(E155="","",IF(E155="Perpetua","Perpetua",IF(K155="","Sin fecha",IF(K155&lt;TODAY(),"Vencida",IF(K155-TODAY()&lt;=Listas!$T$2,"Por vencer","Vigente")))))</f>
        <v/>
      </c>
      <c r="M155" s="28"/>
      <c r="N155" s="26"/>
      <c r="O155" s="26"/>
      <c r="P155" s="26"/>
      <c r="Q155" s="26"/>
    </row>
    <row r="156" spans="1:17" x14ac:dyDescent="0.25">
      <c r="A156" s="26"/>
      <c r="B156" s="26"/>
      <c r="C156" s="26"/>
      <c r="D156" s="26"/>
      <c r="E156" s="26"/>
      <c r="F156" s="44"/>
      <c r="G156" s="44"/>
      <c r="H156" s="48" t="str">
        <f t="shared" si="4"/>
        <v/>
      </c>
      <c r="I156" s="26"/>
      <c r="J156" s="27"/>
      <c r="K156" s="27"/>
      <c r="L156" s="25" t="str">
        <f ca="1">IF(E156="","",IF(E156="Perpetua","Perpetua",IF(K156="","Sin fecha",IF(K156&lt;TODAY(),"Vencida",IF(K156-TODAY()&lt;=Listas!$T$2,"Por vencer","Vigente")))))</f>
        <v/>
      </c>
      <c r="M156" s="28"/>
      <c r="N156" s="26"/>
      <c r="O156" s="26"/>
      <c r="P156" s="26"/>
      <c r="Q156" s="26"/>
    </row>
    <row r="157" spans="1:17" x14ac:dyDescent="0.25">
      <c r="A157" s="26"/>
      <c r="B157" s="26"/>
      <c r="C157" s="26"/>
      <c r="D157" s="26"/>
      <c r="E157" s="26"/>
      <c r="F157" s="44"/>
      <c r="G157" s="44"/>
      <c r="H157" s="48" t="str">
        <f t="shared" si="4"/>
        <v/>
      </c>
      <c r="I157" s="26"/>
      <c r="J157" s="27"/>
      <c r="K157" s="27"/>
      <c r="L157" s="25" t="str">
        <f ca="1">IF(E157="","",IF(E157="Perpetua","Perpetua",IF(K157="","Sin fecha",IF(K157&lt;TODAY(),"Vencida",IF(K157-TODAY()&lt;=Listas!$T$2,"Por vencer","Vigente")))))</f>
        <v/>
      </c>
      <c r="M157" s="28"/>
      <c r="N157" s="26"/>
      <c r="O157" s="26"/>
      <c r="P157" s="26"/>
      <c r="Q157" s="26"/>
    </row>
    <row r="158" spans="1:17" x14ac:dyDescent="0.25">
      <c r="A158" s="26"/>
      <c r="B158" s="26"/>
      <c r="C158" s="26"/>
      <c r="D158" s="26"/>
      <c r="E158" s="26"/>
      <c r="F158" s="44"/>
      <c r="G158" s="44"/>
      <c r="H158" s="48" t="str">
        <f t="shared" si="4"/>
        <v/>
      </c>
      <c r="I158" s="26"/>
      <c r="J158" s="27"/>
      <c r="K158" s="27"/>
      <c r="L158" s="25" t="str">
        <f ca="1">IF(E158="","",IF(E158="Perpetua","Perpetua",IF(K158="","Sin fecha",IF(K158&lt;TODAY(),"Vencida",IF(K158-TODAY()&lt;=Listas!$T$2,"Por vencer","Vigente")))))</f>
        <v/>
      </c>
      <c r="M158" s="28"/>
      <c r="N158" s="26"/>
      <c r="O158" s="26"/>
      <c r="P158" s="26"/>
      <c r="Q158" s="26"/>
    </row>
    <row r="159" spans="1:17" x14ac:dyDescent="0.25">
      <c r="A159" s="26"/>
      <c r="B159" s="26"/>
      <c r="C159" s="26"/>
      <c r="D159" s="26"/>
      <c r="E159" s="26"/>
      <c r="F159" s="44"/>
      <c r="G159" s="44"/>
      <c r="H159" s="48" t="str">
        <f t="shared" si="4"/>
        <v/>
      </c>
      <c r="I159" s="26"/>
      <c r="J159" s="27"/>
      <c r="K159" s="27"/>
      <c r="L159" s="25" t="str">
        <f ca="1">IF(E159="","",IF(E159="Perpetua","Perpetua",IF(K159="","Sin fecha",IF(K159&lt;TODAY(),"Vencida",IF(K159-TODAY()&lt;=Listas!$T$2,"Por vencer","Vigente")))))</f>
        <v/>
      </c>
      <c r="M159" s="28"/>
      <c r="N159" s="26"/>
      <c r="O159" s="26"/>
      <c r="P159" s="26"/>
      <c r="Q159" s="26"/>
    </row>
    <row r="160" spans="1:17" x14ac:dyDescent="0.25">
      <c r="A160" s="26"/>
      <c r="B160" s="26"/>
      <c r="C160" s="26"/>
      <c r="D160" s="26"/>
      <c r="E160" s="26"/>
      <c r="F160" s="44"/>
      <c r="G160" s="44"/>
      <c r="H160" s="48" t="str">
        <f t="shared" si="4"/>
        <v/>
      </c>
      <c r="I160" s="26"/>
      <c r="J160" s="27"/>
      <c r="K160" s="27"/>
      <c r="L160" s="25" t="str">
        <f ca="1">IF(E160="","",IF(E160="Perpetua","Perpetua",IF(K160="","Sin fecha",IF(K160&lt;TODAY(),"Vencida",IF(K160-TODAY()&lt;=Listas!$T$2,"Por vencer","Vigente")))))</f>
        <v/>
      </c>
      <c r="M160" s="28"/>
      <c r="N160" s="26"/>
      <c r="O160" s="26"/>
      <c r="P160" s="26"/>
      <c r="Q160" s="26"/>
    </row>
    <row r="161" spans="1:17" x14ac:dyDescent="0.25">
      <c r="A161" s="26"/>
      <c r="B161" s="26"/>
      <c r="C161" s="26"/>
      <c r="D161" s="26"/>
      <c r="E161" s="26"/>
      <c r="F161" s="44"/>
      <c r="G161" s="44"/>
      <c r="H161" s="48" t="str">
        <f t="shared" si="4"/>
        <v/>
      </c>
      <c r="I161" s="26"/>
      <c r="J161" s="27"/>
      <c r="K161" s="27"/>
      <c r="L161" s="25" t="str">
        <f ca="1">IF(E161="","",IF(E161="Perpetua","Perpetua",IF(K161="","Sin fecha",IF(K161&lt;TODAY(),"Vencida",IF(K161-TODAY()&lt;=Listas!$T$2,"Por vencer","Vigente")))))</f>
        <v/>
      </c>
      <c r="M161" s="28"/>
      <c r="N161" s="26"/>
      <c r="O161" s="26"/>
      <c r="P161" s="26"/>
      <c r="Q161" s="26"/>
    </row>
    <row r="162" spans="1:17" x14ac:dyDescent="0.25">
      <c r="A162" s="26"/>
      <c r="B162" s="26"/>
      <c r="C162" s="26"/>
      <c r="D162" s="26"/>
      <c r="E162" s="26"/>
      <c r="F162" s="44"/>
      <c r="G162" s="44"/>
      <c r="H162" s="48" t="str">
        <f t="shared" si="4"/>
        <v/>
      </c>
      <c r="I162" s="26"/>
      <c r="J162" s="27"/>
      <c r="K162" s="27"/>
      <c r="L162" s="25" t="str">
        <f ca="1">IF(E162="","",IF(E162="Perpetua","Perpetua",IF(K162="","Sin fecha",IF(K162&lt;TODAY(),"Vencida",IF(K162-TODAY()&lt;=Listas!$T$2,"Por vencer","Vigente")))))</f>
        <v/>
      </c>
      <c r="M162" s="28"/>
      <c r="N162" s="26"/>
      <c r="O162" s="26"/>
      <c r="P162" s="26"/>
      <c r="Q162" s="26"/>
    </row>
    <row r="163" spans="1:17" x14ac:dyDescent="0.25">
      <c r="A163" s="26"/>
      <c r="B163" s="26"/>
      <c r="C163" s="26"/>
      <c r="D163" s="26"/>
      <c r="E163" s="26"/>
      <c r="F163" s="44"/>
      <c r="G163" s="44"/>
      <c r="H163" s="48" t="str">
        <f t="shared" si="4"/>
        <v/>
      </c>
      <c r="I163" s="26"/>
      <c r="J163" s="27"/>
      <c r="K163" s="27"/>
      <c r="L163" s="25" t="str">
        <f ca="1">IF(E163="","",IF(E163="Perpetua","Perpetua",IF(K163="","Sin fecha",IF(K163&lt;TODAY(),"Vencida",IF(K163-TODAY()&lt;=Listas!$T$2,"Por vencer","Vigente")))))</f>
        <v/>
      </c>
      <c r="M163" s="28"/>
      <c r="N163" s="26"/>
      <c r="O163" s="26"/>
      <c r="P163" s="26"/>
      <c r="Q163" s="26"/>
    </row>
    <row r="164" spans="1:17" x14ac:dyDescent="0.25">
      <c r="A164" s="26"/>
      <c r="B164" s="26"/>
      <c r="C164" s="26"/>
      <c r="D164" s="26"/>
      <c r="E164" s="26"/>
      <c r="F164" s="44"/>
      <c r="G164" s="44"/>
      <c r="H164" s="48" t="str">
        <f t="shared" si="4"/>
        <v/>
      </c>
      <c r="I164" s="26"/>
      <c r="J164" s="27"/>
      <c r="K164" s="27"/>
      <c r="L164" s="25" t="str">
        <f ca="1">IF(E164="","",IF(E164="Perpetua","Perpetua",IF(K164="","Sin fecha",IF(K164&lt;TODAY(),"Vencida",IF(K164-TODAY()&lt;=Listas!$T$2,"Por vencer","Vigente")))))</f>
        <v/>
      </c>
      <c r="M164" s="28"/>
      <c r="N164" s="26"/>
      <c r="O164" s="26"/>
      <c r="P164" s="26"/>
      <c r="Q164" s="26"/>
    </row>
    <row r="165" spans="1:17" x14ac:dyDescent="0.25">
      <c r="A165" s="26"/>
      <c r="B165" s="26"/>
      <c r="C165" s="26"/>
      <c r="D165" s="26"/>
      <c r="E165" s="26"/>
      <c r="F165" s="44"/>
      <c r="G165" s="44"/>
      <c r="H165" s="48" t="str">
        <f t="shared" ref="H165:H196" si="5">IF(F165="","",F165-G165)</f>
        <v/>
      </c>
      <c r="I165" s="26"/>
      <c r="J165" s="27"/>
      <c r="K165" s="27"/>
      <c r="L165" s="25" t="str">
        <f ca="1">IF(E165="","",IF(E165="Perpetua","Perpetua",IF(K165="","Sin fecha",IF(K165&lt;TODAY(),"Vencida",IF(K165-TODAY()&lt;=Listas!$T$2,"Por vencer","Vigente")))))</f>
        <v/>
      </c>
      <c r="M165" s="28"/>
      <c r="N165" s="26"/>
      <c r="O165" s="26"/>
      <c r="P165" s="26"/>
      <c r="Q165" s="26"/>
    </row>
    <row r="166" spans="1:17" x14ac:dyDescent="0.25">
      <c r="A166" s="26"/>
      <c r="B166" s="26"/>
      <c r="C166" s="26"/>
      <c r="D166" s="26"/>
      <c r="E166" s="26"/>
      <c r="F166" s="44"/>
      <c r="G166" s="44"/>
      <c r="H166" s="48" t="str">
        <f t="shared" si="5"/>
        <v/>
      </c>
      <c r="I166" s="26"/>
      <c r="J166" s="27"/>
      <c r="K166" s="27"/>
      <c r="L166" s="25" t="str">
        <f ca="1">IF(E166="","",IF(E166="Perpetua","Perpetua",IF(K166="","Sin fecha",IF(K166&lt;TODAY(),"Vencida",IF(K166-TODAY()&lt;=Listas!$T$2,"Por vencer","Vigente")))))</f>
        <v/>
      </c>
      <c r="M166" s="28"/>
      <c r="N166" s="26"/>
      <c r="O166" s="26"/>
      <c r="P166" s="26"/>
      <c r="Q166" s="26"/>
    </row>
    <row r="167" spans="1:17" x14ac:dyDescent="0.25">
      <c r="A167" s="26"/>
      <c r="B167" s="26"/>
      <c r="C167" s="26"/>
      <c r="D167" s="26"/>
      <c r="E167" s="26"/>
      <c r="F167" s="44"/>
      <c r="G167" s="44"/>
      <c r="H167" s="48" t="str">
        <f t="shared" si="5"/>
        <v/>
      </c>
      <c r="I167" s="26"/>
      <c r="J167" s="27"/>
      <c r="K167" s="27"/>
      <c r="L167" s="25" t="str">
        <f ca="1">IF(E167="","",IF(E167="Perpetua","Perpetua",IF(K167="","Sin fecha",IF(K167&lt;TODAY(),"Vencida",IF(K167-TODAY()&lt;=Listas!$T$2,"Por vencer","Vigente")))))</f>
        <v/>
      </c>
      <c r="M167" s="28"/>
      <c r="N167" s="26"/>
      <c r="O167" s="26"/>
      <c r="P167" s="26"/>
      <c r="Q167" s="26"/>
    </row>
    <row r="168" spans="1:17" x14ac:dyDescent="0.25">
      <c r="A168" s="26"/>
      <c r="B168" s="26"/>
      <c r="C168" s="26"/>
      <c r="D168" s="26"/>
      <c r="E168" s="26"/>
      <c r="F168" s="44"/>
      <c r="G168" s="44"/>
      <c r="H168" s="48" t="str">
        <f t="shared" si="5"/>
        <v/>
      </c>
      <c r="I168" s="26"/>
      <c r="J168" s="27"/>
      <c r="K168" s="27"/>
      <c r="L168" s="25" t="str">
        <f ca="1">IF(E168="","",IF(E168="Perpetua","Perpetua",IF(K168="","Sin fecha",IF(K168&lt;TODAY(),"Vencida",IF(K168-TODAY()&lt;=Listas!$T$2,"Por vencer","Vigente")))))</f>
        <v/>
      </c>
      <c r="M168" s="28"/>
      <c r="N168" s="26"/>
      <c r="O168" s="26"/>
      <c r="P168" s="26"/>
      <c r="Q168" s="26"/>
    </row>
    <row r="169" spans="1:17" x14ac:dyDescent="0.25">
      <c r="A169" s="26"/>
      <c r="B169" s="26"/>
      <c r="C169" s="26"/>
      <c r="D169" s="26"/>
      <c r="E169" s="26"/>
      <c r="F169" s="44"/>
      <c r="G169" s="44"/>
      <c r="H169" s="48" t="str">
        <f t="shared" si="5"/>
        <v/>
      </c>
      <c r="I169" s="26"/>
      <c r="J169" s="27"/>
      <c r="K169" s="27"/>
      <c r="L169" s="25" t="str">
        <f ca="1">IF(E169="","",IF(E169="Perpetua","Perpetua",IF(K169="","Sin fecha",IF(K169&lt;TODAY(),"Vencida",IF(K169-TODAY()&lt;=Listas!$T$2,"Por vencer","Vigente")))))</f>
        <v/>
      </c>
      <c r="M169" s="28"/>
      <c r="N169" s="26"/>
      <c r="O169" s="26"/>
      <c r="P169" s="26"/>
      <c r="Q169" s="26"/>
    </row>
    <row r="170" spans="1:17" x14ac:dyDescent="0.25">
      <c r="A170" s="26"/>
      <c r="B170" s="26"/>
      <c r="C170" s="26"/>
      <c r="D170" s="26"/>
      <c r="E170" s="26"/>
      <c r="F170" s="44"/>
      <c r="G170" s="44"/>
      <c r="H170" s="48" t="str">
        <f t="shared" si="5"/>
        <v/>
      </c>
      <c r="I170" s="26"/>
      <c r="J170" s="27"/>
      <c r="K170" s="27"/>
      <c r="L170" s="25" t="str">
        <f ca="1">IF(E170="","",IF(E170="Perpetua","Perpetua",IF(K170="","Sin fecha",IF(K170&lt;TODAY(),"Vencida",IF(K170-TODAY()&lt;=Listas!$T$2,"Por vencer","Vigente")))))</f>
        <v/>
      </c>
      <c r="M170" s="28"/>
      <c r="N170" s="26"/>
      <c r="O170" s="26"/>
      <c r="P170" s="26"/>
      <c r="Q170" s="26"/>
    </row>
    <row r="171" spans="1:17" x14ac:dyDescent="0.25">
      <c r="A171" s="26"/>
      <c r="B171" s="26"/>
      <c r="C171" s="26"/>
      <c r="D171" s="26"/>
      <c r="E171" s="26"/>
      <c r="F171" s="44"/>
      <c r="G171" s="44"/>
      <c r="H171" s="48" t="str">
        <f t="shared" si="5"/>
        <v/>
      </c>
      <c r="I171" s="26"/>
      <c r="J171" s="27"/>
      <c r="K171" s="27"/>
      <c r="L171" s="25" t="str">
        <f ca="1">IF(E171="","",IF(E171="Perpetua","Perpetua",IF(K171="","Sin fecha",IF(K171&lt;TODAY(),"Vencida",IF(K171-TODAY()&lt;=Listas!$T$2,"Por vencer","Vigente")))))</f>
        <v/>
      </c>
      <c r="M171" s="28"/>
      <c r="N171" s="26"/>
      <c r="O171" s="26"/>
      <c r="P171" s="26"/>
      <c r="Q171" s="26"/>
    </row>
    <row r="172" spans="1:17" x14ac:dyDescent="0.25">
      <c r="A172" s="26"/>
      <c r="B172" s="26"/>
      <c r="C172" s="26"/>
      <c r="D172" s="26"/>
      <c r="E172" s="26"/>
      <c r="F172" s="44"/>
      <c r="G172" s="44"/>
      <c r="H172" s="48" t="str">
        <f t="shared" si="5"/>
        <v/>
      </c>
      <c r="I172" s="26"/>
      <c r="J172" s="27"/>
      <c r="K172" s="27"/>
      <c r="L172" s="25" t="str">
        <f ca="1">IF(E172="","",IF(E172="Perpetua","Perpetua",IF(K172="","Sin fecha",IF(K172&lt;TODAY(),"Vencida",IF(K172-TODAY()&lt;=Listas!$T$2,"Por vencer","Vigente")))))</f>
        <v/>
      </c>
      <c r="M172" s="28"/>
      <c r="N172" s="26"/>
      <c r="O172" s="26"/>
      <c r="P172" s="26"/>
      <c r="Q172" s="26"/>
    </row>
    <row r="173" spans="1:17" x14ac:dyDescent="0.25">
      <c r="A173" s="26"/>
      <c r="B173" s="26"/>
      <c r="C173" s="26"/>
      <c r="D173" s="26"/>
      <c r="E173" s="26"/>
      <c r="F173" s="44"/>
      <c r="G173" s="44"/>
      <c r="H173" s="48" t="str">
        <f t="shared" si="5"/>
        <v/>
      </c>
      <c r="I173" s="26"/>
      <c r="J173" s="27"/>
      <c r="K173" s="27"/>
      <c r="L173" s="25" t="str">
        <f ca="1">IF(E173="","",IF(E173="Perpetua","Perpetua",IF(K173="","Sin fecha",IF(K173&lt;TODAY(),"Vencida",IF(K173-TODAY()&lt;=Listas!$T$2,"Por vencer","Vigente")))))</f>
        <v/>
      </c>
      <c r="M173" s="28"/>
      <c r="N173" s="26"/>
      <c r="O173" s="26"/>
      <c r="P173" s="26"/>
      <c r="Q173" s="26"/>
    </row>
    <row r="174" spans="1:17" x14ac:dyDescent="0.25">
      <c r="A174" s="26"/>
      <c r="B174" s="26"/>
      <c r="C174" s="26"/>
      <c r="D174" s="26"/>
      <c r="E174" s="26"/>
      <c r="F174" s="44"/>
      <c r="G174" s="44"/>
      <c r="H174" s="48" t="str">
        <f t="shared" si="5"/>
        <v/>
      </c>
      <c r="I174" s="26"/>
      <c r="J174" s="27"/>
      <c r="K174" s="27"/>
      <c r="L174" s="25" t="str">
        <f ca="1">IF(E174="","",IF(E174="Perpetua","Perpetua",IF(K174="","Sin fecha",IF(K174&lt;TODAY(),"Vencida",IF(K174-TODAY()&lt;=Listas!$T$2,"Por vencer","Vigente")))))</f>
        <v/>
      </c>
      <c r="M174" s="28"/>
      <c r="N174" s="26"/>
      <c r="O174" s="26"/>
      <c r="P174" s="26"/>
      <c r="Q174" s="26"/>
    </row>
    <row r="175" spans="1:17" x14ac:dyDescent="0.25">
      <c r="A175" s="26"/>
      <c r="B175" s="26"/>
      <c r="C175" s="26"/>
      <c r="D175" s="26"/>
      <c r="E175" s="26"/>
      <c r="F175" s="44"/>
      <c r="G175" s="44"/>
      <c r="H175" s="48" t="str">
        <f t="shared" si="5"/>
        <v/>
      </c>
      <c r="I175" s="26"/>
      <c r="J175" s="27"/>
      <c r="K175" s="27"/>
      <c r="L175" s="25" t="str">
        <f ca="1">IF(E175="","",IF(E175="Perpetua","Perpetua",IF(K175="","Sin fecha",IF(K175&lt;TODAY(),"Vencida",IF(K175-TODAY()&lt;=Listas!$T$2,"Por vencer","Vigente")))))</f>
        <v/>
      </c>
      <c r="M175" s="28"/>
      <c r="N175" s="26"/>
      <c r="O175" s="26"/>
      <c r="P175" s="26"/>
      <c r="Q175" s="26"/>
    </row>
    <row r="176" spans="1:17" x14ac:dyDescent="0.25">
      <c r="A176" s="26"/>
      <c r="B176" s="26"/>
      <c r="C176" s="26"/>
      <c r="D176" s="26"/>
      <c r="E176" s="26"/>
      <c r="F176" s="44"/>
      <c r="G176" s="44"/>
      <c r="H176" s="48" t="str">
        <f t="shared" si="5"/>
        <v/>
      </c>
      <c r="I176" s="26"/>
      <c r="J176" s="27"/>
      <c r="K176" s="27"/>
      <c r="L176" s="25" t="str">
        <f ca="1">IF(E176="","",IF(E176="Perpetua","Perpetua",IF(K176="","Sin fecha",IF(K176&lt;TODAY(),"Vencida",IF(K176-TODAY()&lt;=Listas!$T$2,"Por vencer","Vigente")))))</f>
        <v/>
      </c>
      <c r="M176" s="28"/>
      <c r="N176" s="26"/>
      <c r="O176" s="26"/>
      <c r="P176" s="26"/>
      <c r="Q176" s="26"/>
    </row>
    <row r="177" spans="1:17" x14ac:dyDescent="0.25">
      <c r="A177" s="26"/>
      <c r="B177" s="26"/>
      <c r="C177" s="26"/>
      <c r="D177" s="26"/>
      <c r="E177" s="26"/>
      <c r="F177" s="44"/>
      <c r="G177" s="44"/>
      <c r="H177" s="48" t="str">
        <f t="shared" si="5"/>
        <v/>
      </c>
      <c r="I177" s="26"/>
      <c r="J177" s="27"/>
      <c r="K177" s="27"/>
      <c r="L177" s="25" t="str">
        <f ca="1">IF(E177="","",IF(E177="Perpetua","Perpetua",IF(K177="","Sin fecha",IF(K177&lt;TODAY(),"Vencida",IF(K177-TODAY()&lt;=Listas!$T$2,"Por vencer","Vigente")))))</f>
        <v/>
      </c>
      <c r="M177" s="28"/>
      <c r="N177" s="26"/>
      <c r="O177" s="26"/>
      <c r="P177" s="26"/>
      <c r="Q177" s="26"/>
    </row>
    <row r="178" spans="1:17" x14ac:dyDescent="0.25">
      <c r="A178" s="26"/>
      <c r="B178" s="26"/>
      <c r="C178" s="26"/>
      <c r="D178" s="26"/>
      <c r="E178" s="26"/>
      <c r="F178" s="44"/>
      <c r="G178" s="44"/>
      <c r="H178" s="48" t="str">
        <f t="shared" si="5"/>
        <v/>
      </c>
      <c r="I178" s="26"/>
      <c r="J178" s="27"/>
      <c r="K178" s="27"/>
      <c r="L178" s="25" t="str">
        <f ca="1">IF(E178="","",IF(E178="Perpetua","Perpetua",IF(K178="","Sin fecha",IF(K178&lt;TODAY(),"Vencida",IF(K178-TODAY()&lt;=Listas!$T$2,"Por vencer","Vigente")))))</f>
        <v/>
      </c>
      <c r="M178" s="28"/>
      <c r="N178" s="26"/>
      <c r="O178" s="26"/>
      <c r="P178" s="26"/>
      <c r="Q178" s="26"/>
    </row>
    <row r="179" spans="1:17" x14ac:dyDescent="0.25">
      <c r="A179" s="26"/>
      <c r="B179" s="26"/>
      <c r="C179" s="26"/>
      <c r="D179" s="26"/>
      <c r="E179" s="26"/>
      <c r="F179" s="44"/>
      <c r="G179" s="44"/>
      <c r="H179" s="48" t="str">
        <f t="shared" si="5"/>
        <v/>
      </c>
      <c r="I179" s="26"/>
      <c r="J179" s="27"/>
      <c r="K179" s="27"/>
      <c r="L179" s="25" t="str">
        <f ca="1">IF(E179="","",IF(E179="Perpetua","Perpetua",IF(K179="","Sin fecha",IF(K179&lt;TODAY(),"Vencida",IF(K179-TODAY()&lt;=Listas!$T$2,"Por vencer","Vigente")))))</f>
        <v/>
      </c>
      <c r="M179" s="28"/>
      <c r="N179" s="26"/>
      <c r="O179" s="26"/>
      <c r="P179" s="26"/>
      <c r="Q179" s="26"/>
    </row>
    <row r="180" spans="1:17" x14ac:dyDescent="0.25">
      <c r="A180" s="26"/>
      <c r="B180" s="26"/>
      <c r="C180" s="26"/>
      <c r="D180" s="26"/>
      <c r="E180" s="26"/>
      <c r="F180" s="44"/>
      <c r="G180" s="44"/>
      <c r="H180" s="48" t="str">
        <f t="shared" si="5"/>
        <v/>
      </c>
      <c r="I180" s="26"/>
      <c r="J180" s="27"/>
      <c r="K180" s="27"/>
      <c r="L180" s="25" t="str">
        <f ca="1">IF(E180="","",IF(E180="Perpetua","Perpetua",IF(K180="","Sin fecha",IF(K180&lt;TODAY(),"Vencida",IF(K180-TODAY()&lt;=Listas!$T$2,"Por vencer","Vigente")))))</f>
        <v/>
      </c>
      <c r="M180" s="28"/>
      <c r="N180" s="26"/>
      <c r="O180" s="26"/>
      <c r="P180" s="26"/>
      <c r="Q180" s="26"/>
    </row>
    <row r="181" spans="1:17" x14ac:dyDescent="0.25">
      <c r="A181" s="26"/>
      <c r="B181" s="26"/>
      <c r="C181" s="26"/>
      <c r="D181" s="26"/>
      <c r="E181" s="26"/>
      <c r="F181" s="44"/>
      <c r="G181" s="44"/>
      <c r="H181" s="48" t="str">
        <f t="shared" si="5"/>
        <v/>
      </c>
      <c r="I181" s="26"/>
      <c r="J181" s="27"/>
      <c r="K181" s="27"/>
      <c r="L181" s="25" t="str">
        <f ca="1">IF(E181="","",IF(E181="Perpetua","Perpetua",IF(K181="","Sin fecha",IF(K181&lt;TODAY(),"Vencida",IF(K181-TODAY()&lt;=Listas!$T$2,"Por vencer","Vigente")))))</f>
        <v/>
      </c>
      <c r="M181" s="28"/>
      <c r="N181" s="26"/>
      <c r="O181" s="26"/>
      <c r="P181" s="26"/>
      <c r="Q181" s="26"/>
    </row>
    <row r="182" spans="1:17" x14ac:dyDescent="0.25">
      <c r="A182" s="26"/>
      <c r="B182" s="26"/>
      <c r="C182" s="26"/>
      <c r="D182" s="26"/>
      <c r="E182" s="26"/>
      <c r="F182" s="44"/>
      <c r="G182" s="44"/>
      <c r="H182" s="48" t="str">
        <f t="shared" si="5"/>
        <v/>
      </c>
      <c r="I182" s="26"/>
      <c r="J182" s="27"/>
      <c r="K182" s="27"/>
      <c r="L182" s="25" t="str">
        <f ca="1">IF(E182="","",IF(E182="Perpetua","Perpetua",IF(K182="","Sin fecha",IF(K182&lt;TODAY(),"Vencida",IF(K182-TODAY()&lt;=Listas!$T$2,"Por vencer","Vigente")))))</f>
        <v/>
      </c>
      <c r="M182" s="28"/>
      <c r="N182" s="26"/>
      <c r="O182" s="26"/>
      <c r="P182" s="26"/>
      <c r="Q182" s="26"/>
    </row>
    <row r="183" spans="1:17" x14ac:dyDescent="0.25">
      <c r="A183" s="26"/>
      <c r="B183" s="26"/>
      <c r="C183" s="26"/>
      <c r="D183" s="26"/>
      <c r="E183" s="26"/>
      <c r="F183" s="44"/>
      <c r="G183" s="44"/>
      <c r="H183" s="48" t="str">
        <f t="shared" si="5"/>
        <v/>
      </c>
      <c r="I183" s="26"/>
      <c r="J183" s="27"/>
      <c r="K183" s="27"/>
      <c r="L183" s="25" t="str">
        <f ca="1">IF(E183="","",IF(E183="Perpetua","Perpetua",IF(K183="","Sin fecha",IF(K183&lt;TODAY(),"Vencida",IF(K183-TODAY()&lt;=Listas!$T$2,"Por vencer","Vigente")))))</f>
        <v/>
      </c>
      <c r="M183" s="28"/>
      <c r="N183" s="26"/>
      <c r="O183" s="26"/>
      <c r="P183" s="26"/>
      <c r="Q183" s="26"/>
    </row>
    <row r="184" spans="1:17" x14ac:dyDescent="0.25">
      <c r="A184" s="26"/>
      <c r="B184" s="26"/>
      <c r="C184" s="26"/>
      <c r="D184" s="26"/>
      <c r="E184" s="26"/>
      <c r="F184" s="44"/>
      <c r="G184" s="44"/>
      <c r="H184" s="48" t="str">
        <f t="shared" si="5"/>
        <v/>
      </c>
      <c r="I184" s="26"/>
      <c r="J184" s="27"/>
      <c r="K184" s="27"/>
      <c r="L184" s="25" t="str">
        <f ca="1">IF(E184="","",IF(E184="Perpetua","Perpetua",IF(K184="","Sin fecha",IF(K184&lt;TODAY(),"Vencida",IF(K184-TODAY()&lt;=Listas!$T$2,"Por vencer","Vigente")))))</f>
        <v/>
      </c>
      <c r="M184" s="28"/>
      <c r="N184" s="26"/>
      <c r="O184" s="26"/>
      <c r="P184" s="26"/>
      <c r="Q184" s="26"/>
    </row>
    <row r="185" spans="1:17" x14ac:dyDescent="0.25">
      <c r="A185" s="26"/>
      <c r="B185" s="26"/>
      <c r="C185" s="26"/>
      <c r="D185" s="26"/>
      <c r="E185" s="26"/>
      <c r="F185" s="44"/>
      <c r="G185" s="44"/>
      <c r="H185" s="48" t="str">
        <f t="shared" si="5"/>
        <v/>
      </c>
      <c r="I185" s="26"/>
      <c r="J185" s="27"/>
      <c r="K185" s="27"/>
      <c r="L185" s="25" t="str">
        <f ca="1">IF(E185="","",IF(E185="Perpetua","Perpetua",IF(K185="","Sin fecha",IF(K185&lt;TODAY(),"Vencida",IF(K185-TODAY()&lt;=Listas!$T$2,"Por vencer","Vigente")))))</f>
        <v/>
      </c>
      <c r="M185" s="28"/>
      <c r="N185" s="26"/>
      <c r="O185" s="26"/>
      <c r="P185" s="26"/>
      <c r="Q185" s="26"/>
    </row>
    <row r="186" spans="1:17" x14ac:dyDescent="0.25">
      <c r="A186" s="26"/>
      <c r="B186" s="26"/>
      <c r="C186" s="26"/>
      <c r="D186" s="26"/>
      <c r="E186" s="26"/>
      <c r="F186" s="44"/>
      <c r="G186" s="44"/>
      <c r="H186" s="48" t="str">
        <f t="shared" si="5"/>
        <v/>
      </c>
      <c r="I186" s="26"/>
      <c r="J186" s="27"/>
      <c r="K186" s="27"/>
      <c r="L186" s="25" t="str">
        <f ca="1">IF(E186="","",IF(E186="Perpetua","Perpetua",IF(K186="","Sin fecha",IF(K186&lt;TODAY(),"Vencida",IF(K186-TODAY()&lt;=Listas!$T$2,"Por vencer","Vigente")))))</f>
        <v/>
      </c>
      <c r="M186" s="28"/>
      <c r="N186" s="26"/>
      <c r="O186" s="26"/>
      <c r="P186" s="26"/>
      <c r="Q186" s="26"/>
    </row>
    <row r="187" spans="1:17" x14ac:dyDescent="0.25">
      <c r="A187" s="26"/>
      <c r="B187" s="26"/>
      <c r="C187" s="26"/>
      <c r="D187" s="26"/>
      <c r="E187" s="26"/>
      <c r="F187" s="44"/>
      <c r="G187" s="44"/>
      <c r="H187" s="48" t="str">
        <f t="shared" si="5"/>
        <v/>
      </c>
      <c r="I187" s="26"/>
      <c r="J187" s="27"/>
      <c r="K187" s="27"/>
      <c r="L187" s="25" t="str">
        <f ca="1">IF(E187="","",IF(E187="Perpetua","Perpetua",IF(K187="","Sin fecha",IF(K187&lt;TODAY(),"Vencida",IF(K187-TODAY()&lt;=Listas!$T$2,"Por vencer","Vigente")))))</f>
        <v/>
      </c>
      <c r="M187" s="28"/>
      <c r="N187" s="26"/>
      <c r="O187" s="26"/>
      <c r="P187" s="26"/>
      <c r="Q187" s="26"/>
    </row>
    <row r="188" spans="1:17" x14ac:dyDescent="0.25">
      <c r="A188" s="26"/>
      <c r="B188" s="26"/>
      <c r="C188" s="26"/>
      <c r="D188" s="26"/>
      <c r="E188" s="26"/>
      <c r="F188" s="44"/>
      <c r="G188" s="44"/>
      <c r="H188" s="48" t="str">
        <f t="shared" si="5"/>
        <v/>
      </c>
      <c r="I188" s="26"/>
      <c r="J188" s="27"/>
      <c r="K188" s="27"/>
      <c r="L188" s="25" t="str">
        <f ca="1">IF(E188="","",IF(E188="Perpetua","Perpetua",IF(K188="","Sin fecha",IF(K188&lt;TODAY(),"Vencida",IF(K188-TODAY()&lt;=Listas!$T$2,"Por vencer","Vigente")))))</f>
        <v/>
      </c>
      <c r="M188" s="28"/>
      <c r="N188" s="26"/>
      <c r="O188" s="26"/>
      <c r="P188" s="26"/>
      <c r="Q188" s="26"/>
    </row>
    <row r="189" spans="1:17" x14ac:dyDescent="0.25">
      <c r="A189" s="26"/>
      <c r="B189" s="26"/>
      <c r="C189" s="26"/>
      <c r="D189" s="26"/>
      <c r="E189" s="26"/>
      <c r="F189" s="44"/>
      <c r="G189" s="44"/>
      <c r="H189" s="48" t="str">
        <f t="shared" si="5"/>
        <v/>
      </c>
      <c r="I189" s="26"/>
      <c r="J189" s="27"/>
      <c r="K189" s="27"/>
      <c r="L189" s="25" t="str">
        <f ca="1">IF(E189="","",IF(E189="Perpetua","Perpetua",IF(K189="","Sin fecha",IF(K189&lt;TODAY(),"Vencida",IF(K189-TODAY()&lt;=Listas!$T$2,"Por vencer","Vigente")))))</f>
        <v/>
      </c>
      <c r="M189" s="28"/>
      <c r="N189" s="26"/>
      <c r="O189" s="26"/>
      <c r="P189" s="26"/>
      <c r="Q189" s="26"/>
    </row>
    <row r="190" spans="1:17" x14ac:dyDescent="0.25">
      <c r="A190" s="26"/>
      <c r="B190" s="26"/>
      <c r="C190" s="26"/>
      <c r="D190" s="26"/>
      <c r="E190" s="26"/>
      <c r="F190" s="44"/>
      <c r="G190" s="44"/>
      <c r="H190" s="48" t="str">
        <f t="shared" si="5"/>
        <v/>
      </c>
      <c r="I190" s="26"/>
      <c r="J190" s="27"/>
      <c r="K190" s="27"/>
      <c r="L190" s="25" t="str">
        <f ca="1">IF(E190="","",IF(E190="Perpetua","Perpetua",IF(K190="","Sin fecha",IF(K190&lt;TODAY(),"Vencida",IF(K190-TODAY()&lt;=Listas!$T$2,"Por vencer","Vigente")))))</f>
        <v/>
      </c>
      <c r="M190" s="28"/>
      <c r="N190" s="26"/>
      <c r="O190" s="26"/>
      <c r="P190" s="26"/>
      <c r="Q190" s="26"/>
    </row>
    <row r="191" spans="1:17" x14ac:dyDescent="0.25">
      <c r="A191" s="26"/>
      <c r="B191" s="26"/>
      <c r="C191" s="26"/>
      <c r="D191" s="26"/>
      <c r="E191" s="26"/>
      <c r="F191" s="44"/>
      <c r="G191" s="44"/>
      <c r="H191" s="48" t="str">
        <f t="shared" si="5"/>
        <v/>
      </c>
      <c r="I191" s="26"/>
      <c r="J191" s="27"/>
      <c r="K191" s="27"/>
      <c r="L191" s="25" t="str">
        <f ca="1">IF(E191="","",IF(E191="Perpetua","Perpetua",IF(K191="","Sin fecha",IF(K191&lt;TODAY(),"Vencida",IF(K191-TODAY()&lt;=Listas!$T$2,"Por vencer","Vigente")))))</f>
        <v/>
      </c>
      <c r="M191" s="28"/>
      <c r="N191" s="26"/>
      <c r="O191" s="26"/>
      <c r="P191" s="26"/>
      <c r="Q191" s="26"/>
    </row>
    <row r="192" spans="1:17" x14ac:dyDescent="0.25">
      <c r="A192" s="26"/>
      <c r="B192" s="26"/>
      <c r="C192" s="26"/>
      <c r="D192" s="26"/>
      <c r="E192" s="26"/>
      <c r="F192" s="44"/>
      <c r="G192" s="44"/>
      <c r="H192" s="48" t="str">
        <f t="shared" si="5"/>
        <v/>
      </c>
      <c r="I192" s="26"/>
      <c r="J192" s="27"/>
      <c r="K192" s="27"/>
      <c r="L192" s="25" t="str">
        <f ca="1">IF(E192="","",IF(E192="Perpetua","Perpetua",IF(K192="","Sin fecha",IF(K192&lt;TODAY(),"Vencida",IF(K192-TODAY()&lt;=Listas!$T$2,"Por vencer","Vigente")))))</f>
        <v/>
      </c>
      <c r="M192" s="28"/>
      <c r="N192" s="26"/>
      <c r="O192" s="26"/>
      <c r="P192" s="26"/>
      <c r="Q192" s="26"/>
    </row>
    <row r="193" spans="1:17" x14ac:dyDescent="0.25">
      <c r="A193" s="26"/>
      <c r="B193" s="26"/>
      <c r="C193" s="26"/>
      <c r="D193" s="26"/>
      <c r="E193" s="26"/>
      <c r="F193" s="44"/>
      <c r="G193" s="44"/>
      <c r="H193" s="48" t="str">
        <f t="shared" si="5"/>
        <v/>
      </c>
      <c r="I193" s="26"/>
      <c r="J193" s="27"/>
      <c r="K193" s="27"/>
      <c r="L193" s="25" t="str">
        <f ca="1">IF(E193="","",IF(E193="Perpetua","Perpetua",IF(K193="","Sin fecha",IF(K193&lt;TODAY(),"Vencida",IF(K193-TODAY()&lt;=Listas!$T$2,"Por vencer","Vigente")))))</f>
        <v/>
      </c>
      <c r="M193" s="28"/>
      <c r="N193" s="26"/>
      <c r="O193" s="26"/>
      <c r="P193" s="26"/>
      <c r="Q193" s="26"/>
    </row>
    <row r="194" spans="1:17" x14ac:dyDescent="0.25">
      <c r="A194" s="26"/>
      <c r="B194" s="26"/>
      <c r="C194" s="26"/>
      <c r="D194" s="26"/>
      <c r="E194" s="26"/>
      <c r="F194" s="44"/>
      <c r="G194" s="44"/>
      <c r="H194" s="48" t="str">
        <f t="shared" si="5"/>
        <v/>
      </c>
      <c r="I194" s="26"/>
      <c r="J194" s="27"/>
      <c r="K194" s="27"/>
      <c r="L194" s="25" t="str">
        <f ca="1">IF(E194="","",IF(E194="Perpetua","Perpetua",IF(K194="","Sin fecha",IF(K194&lt;TODAY(),"Vencida",IF(K194-TODAY()&lt;=Listas!$T$2,"Por vencer","Vigente")))))</f>
        <v/>
      </c>
      <c r="M194" s="28"/>
      <c r="N194" s="26"/>
      <c r="O194" s="26"/>
      <c r="P194" s="26"/>
      <c r="Q194" s="26"/>
    </row>
    <row r="195" spans="1:17" x14ac:dyDescent="0.25">
      <c r="A195" s="26"/>
      <c r="B195" s="26"/>
      <c r="C195" s="26"/>
      <c r="D195" s="26"/>
      <c r="E195" s="26"/>
      <c r="F195" s="44"/>
      <c r="G195" s="44"/>
      <c r="H195" s="48" t="str">
        <f t="shared" si="5"/>
        <v/>
      </c>
      <c r="I195" s="26"/>
      <c r="J195" s="27"/>
      <c r="K195" s="27"/>
      <c r="L195" s="25" t="str">
        <f ca="1">IF(E195="","",IF(E195="Perpetua","Perpetua",IF(K195="","Sin fecha",IF(K195&lt;TODAY(),"Vencida",IF(K195-TODAY()&lt;=Listas!$T$2,"Por vencer","Vigente")))))</f>
        <v/>
      </c>
      <c r="M195" s="28"/>
      <c r="N195" s="26"/>
      <c r="O195" s="26"/>
      <c r="P195" s="26"/>
      <c r="Q195" s="26"/>
    </row>
    <row r="196" spans="1:17" x14ac:dyDescent="0.25">
      <c r="A196" s="26"/>
      <c r="B196" s="26"/>
      <c r="C196" s="26"/>
      <c r="D196" s="26"/>
      <c r="E196" s="26"/>
      <c r="F196" s="44"/>
      <c r="G196" s="44"/>
      <c r="H196" s="48" t="str">
        <f t="shared" si="5"/>
        <v/>
      </c>
      <c r="I196" s="26"/>
      <c r="J196" s="27"/>
      <c r="K196" s="27"/>
      <c r="L196" s="25" t="str">
        <f ca="1">IF(E196="","",IF(E196="Perpetua","Perpetua",IF(K196="","Sin fecha",IF(K196&lt;TODAY(),"Vencida",IF(K196-TODAY()&lt;=Listas!$T$2,"Por vencer","Vigente")))))</f>
        <v/>
      </c>
      <c r="M196" s="28"/>
      <c r="N196" s="26"/>
      <c r="O196" s="26"/>
      <c r="P196" s="26"/>
      <c r="Q196" s="26"/>
    </row>
    <row r="197" spans="1:17" x14ac:dyDescent="0.25">
      <c r="A197" s="26"/>
      <c r="B197" s="26"/>
      <c r="C197" s="26"/>
      <c r="D197" s="26"/>
      <c r="E197" s="26"/>
      <c r="F197" s="44"/>
      <c r="G197" s="44"/>
      <c r="H197" s="48" t="str">
        <f t="shared" ref="H197:H204" si="6">IF(F197="","",F197-G197)</f>
        <v/>
      </c>
      <c r="I197" s="26"/>
      <c r="J197" s="27"/>
      <c r="K197" s="27"/>
      <c r="L197" s="25" t="str">
        <f ca="1">IF(E197="","",IF(E197="Perpetua","Perpetua",IF(K197="","Sin fecha",IF(K197&lt;TODAY(),"Vencida",IF(K197-TODAY()&lt;=Listas!$T$2,"Por vencer","Vigente")))))</f>
        <v/>
      </c>
      <c r="M197" s="28"/>
      <c r="N197" s="26"/>
      <c r="O197" s="26"/>
      <c r="P197" s="26"/>
      <c r="Q197" s="26"/>
    </row>
    <row r="198" spans="1:17" x14ac:dyDescent="0.25">
      <c r="A198" s="26"/>
      <c r="B198" s="26"/>
      <c r="C198" s="26"/>
      <c r="D198" s="26"/>
      <c r="E198" s="26"/>
      <c r="F198" s="44"/>
      <c r="G198" s="44"/>
      <c r="H198" s="48" t="str">
        <f t="shared" si="6"/>
        <v/>
      </c>
      <c r="I198" s="26"/>
      <c r="J198" s="27"/>
      <c r="K198" s="27"/>
      <c r="L198" s="25" t="str">
        <f ca="1">IF(E198="","",IF(E198="Perpetua","Perpetua",IF(K198="","Sin fecha",IF(K198&lt;TODAY(),"Vencida",IF(K198-TODAY()&lt;=Listas!$T$2,"Por vencer","Vigente")))))</f>
        <v/>
      </c>
      <c r="M198" s="28"/>
      <c r="N198" s="26"/>
      <c r="O198" s="26"/>
      <c r="P198" s="26"/>
      <c r="Q198" s="26"/>
    </row>
    <row r="199" spans="1:17" x14ac:dyDescent="0.25">
      <c r="A199" s="26"/>
      <c r="B199" s="26"/>
      <c r="C199" s="26"/>
      <c r="D199" s="26"/>
      <c r="E199" s="26"/>
      <c r="F199" s="44"/>
      <c r="G199" s="44"/>
      <c r="H199" s="48" t="str">
        <f t="shared" si="6"/>
        <v/>
      </c>
      <c r="I199" s="26"/>
      <c r="J199" s="27"/>
      <c r="K199" s="27"/>
      <c r="L199" s="25" t="str">
        <f ca="1">IF(E199="","",IF(E199="Perpetua","Perpetua",IF(K199="","Sin fecha",IF(K199&lt;TODAY(),"Vencida",IF(K199-TODAY()&lt;=Listas!$T$2,"Por vencer","Vigente")))))</f>
        <v/>
      </c>
      <c r="M199" s="28"/>
      <c r="N199" s="26"/>
      <c r="O199" s="26"/>
      <c r="P199" s="26"/>
      <c r="Q199" s="26"/>
    </row>
    <row r="200" spans="1:17" x14ac:dyDescent="0.25">
      <c r="A200" s="26"/>
      <c r="B200" s="26"/>
      <c r="C200" s="26"/>
      <c r="D200" s="26"/>
      <c r="E200" s="26"/>
      <c r="F200" s="44"/>
      <c r="G200" s="44"/>
      <c r="H200" s="48" t="str">
        <f t="shared" si="6"/>
        <v/>
      </c>
      <c r="I200" s="26"/>
      <c r="J200" s="27"/>
      <c r="K200" s="27"/>
      <c r="L200" s="25" t="str">
        <f ca="1">IF(E200="","",IF(E200="Perpetua","Perpetua",IF(K200="","Sin fecha",IF(K200&lt;TODAY(),"Vencida",IF(K200-TODAY()&lt;=Listas!$T$2,"Por vencer","Vigente")))))</f>
        <v/>
      </c>
      <c r="M200" s="28"/>
      <c r="N200" s="26"/>
      <c r="O200" s="26"/>
      <c r="P200" s="26"/>
      <c r="Q200" s="26"/>
    </row>
    <row r="201" spans="1:17" x14ac:dyDescent="0.25">
      <c r="A201" s="26"/>
      <c r="B201" s="26"/>
      <c r="C201" s="26"/>
      <c r="D201" s="26"/>
      <c r="E201" s="26"/>
      <c r="F201" s="44"/>
      <c r="G201" s="44"/>
      <c r="H201" s="48" t="str">
        <f t="shared" si="6"/>
        <v/>
      </c>
      <c r="I201" s="26"/>
      <c r="J201" s="27"/>
      <c r="K201" s="27"/>
      <c r="L201" s="25" t="str">
        <f ca="1">IF(E201="","",IF(E201="Perpetua","Perpetua",IF(K201="","Sin fecha",IF(K201&lt;TODAY(),"Vencida",IF(K201-TODAY()&lt;=Listas!$T$2,"Por vencer","Vigente")))))</f>
        <v/>
      </c>
      <c r="M201" s="28"/>
      <c r="N201" s="26"/>
      <c r="O201" s="26"/>
      <c r="P201" s="26"/>
      <c r="Q201" s="26"/>
    </row>
    <row r="202" spans="1:17" x14ac:dyDescent="0.25">
      <c r="A202" s="26"/>
      <c r="B202" s="26"/>
      <c r="C202" s="26"/>
      <c r="D202" s="26"/>
      <c r="E202" s="26"/>
      <c r="F202" s="44"/>
      <c r="G202" s="44"/>
      <c r="H202" s="48" t="str">
        <f t="shared" si="6"/>
        <v/>
      </c>
      <c r="I202" s="26"/>
      <c r="J202" s="27"/>
      <c r="K202" s="27"/>
      <c r="L202" s="25" t="str">
        <f ca="1">IF(E202="","",IF(E202="Perpetua","Perpetua",IF(K202="","Sin fecha",IF(K202&lt;TODAY(),"Vencida",IF(K202-TODAY()&lt;=Listas!$T$2,"Por vencer","Vigente")))))</f>
        <v/>
      </c>
      <c r="M202" s="28"/>
      <c r="N202" s="26"/>
      <c r="O202" s="26"/>
      <c r="P202" s="26"/>
      <c r="Q202" s="26"/>
    </row>
    <row r="203" spans="1:17" x14ac:dyDescent="0.25">
      <c r="A203" s="26"/>
      <c r="B203" s="26"/>
      <c r="C203" s="26"/>
      <c r="D203" s="26"/>
      <c r="E203" s="26"/>
      <c r="F203" s="44"/>
      <c r="G203" s="44"/>
      <c r="H203" s="48" t="str">
        <f t="shared" si="6"/>
        <v/>
      </c>
      <c r="I203" s="26"/>
      <c r="J203" s="27"/>
      <c r="K203" s="27"/>
      <c r="L203" s="25" t="str">
        <f ca="1">IF(E203="","",IF(E203="Perpetua","Perpetua",IF(K203="","Sin fecha",IF(K203&lt;TODAY(),"Vencida",IF(K203-TODAY()&lt;=Listas!$T$2,"Por vencer","Vigente")))))</f>
        <v/>
      </c>
      <c r="M203" s="28"/>
      <c r="N203" s="26"/>
      <c r="O203" s="26"/>
      <c r="P203" s="26"/>
      <c r="Q203" s="26"/>
    </row>
    <row r="204" spans="1:17" x14ac:dyDescent="0.25">
      <c r="A204" s="26"/>
      <c r="B204" s="26"/>
      <c r="C204" s="26"/>
      <c r="D204" s="26"/>
      <c r="E204" s="26"/>
      <c r="F204" s="44"/>
      <c r="G204" s="44"/>
      <c r="H204" s="48" t="str">
        <f t="shared" si="6"/>
        <v/>
      </c>
      <c r="I204" s="26"/>
      <c r="J204" s="27"/>
      <c r="K204" s="27"/>
      <c r="L204" s="25" t="str">
        <f ca="1">IF(E204="","",IF(E204="Perpetua","Perpetua",IF(K204="","Sin fecha",IF(K204&lt;TODAY(),"Vencida",IF(K204-TODAY()&lt;=Listas!$T$2,"Por vencer","Vigente")))))</f>
        <v/>
      </c>
      <c r="M204" s="28"/>
      <c r="N204" s="26"/>
      <c r="O204" s="26"/>
      <c r="P204" s="26"/>
      <c r="Q204" s="26"/>
    </row>
  </sheetData>
  <autoFilter ref="A4:Q204" xr:uid="{00000000-0009-0000-0000-000008000000}"/>
  <conditionalFormatting sqref="H5:H204">
    <cfRule type="cellIs" dxfId="8" priority="5" operator="lessThan">
      <formula>0</formula>
    </cfRule>
  </conditionalFormatting>
  <conditionalFormatting sqref="L5:L204">
    <cfRule type="cellIs" dxfId="7" priority="2" operator="equal">
      <formula>"Vencida"</formula>
    </cfRule>
    <cfRule type="cellIs" dxfId="6" priority="3" operator="equal">
      <formula>"Por vencer"</formula>
    </cfRule>
    <cfRule type="cellIs" dxfId="5" priority="4" operator="equal">
      <formula>"Vigente"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no válido" error="Elija un valor de la lista. Las listas se editan en la hoja 'Listas'." xr:uid="{00000000-0002-0000-0800-000000000000}">
          <x14:formula1>
            <xm:f>OFFSET(Listas!$H$2,0,0,MAX(1,COUNTA(Listas!$H$2:$H$60)),1)</xm:f>
          </x14:formula1>
          <x14:formula2>
            <xm:f>0</xm:f>
          </x14:formula2>
          <xm:sqref>E5:E204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  <pageSetUpPr fitToPage="1"/>
  </sheetPr>
  <dimension ref="A1:O20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12" customWidth="1"/>
    <col min="2" max="3" width="18" customWidth="1"/>
    <col min="4" max="4" width="14" customWidth="1"/>
    <col min="5" max="5" width="12" customWidth="1"/>
    <col min="6" max="6" width="16" customWidth="1"/>
    <col min="7" max="7" width="38" customWidth="1"/>
    <col min="8" max="8" width="28" customWidth="1"/>
    <col min="9" max="9" width="12" customWidth="1"/>
    <col min="10" max="10" width="22" customWidth="1"/>
    <col min="11" max="11" width="10" customWidth="1"/>
    <col min="12" max="12" width="13" customWidth="1"/>
    <col min="13" max="13" width="15" customWidth="1"/>
    <col min="14" max="14" width="12" customWidth="1"/>
    <col min="15" max="15" width="30" customWidth="1"/>
  </cols>
  <sheetData>
    <row r="1" spans="1:15" ht="18" x14ac:dyDescent="0.25">
      <c r="A1" s="18" t="s">
        <v>291</v>
      </c>
    </row>
    <row r="2" spans="1:15" x14ac:dyDescent="0.25">
      <c r="A2" s="11" t="s">
        <v>292</v>
      </c>
    </row>
    <row r="4" spans="1:15" ht="48" customHeight="1" x14ac:dyDescent="0.25">
      <c r="A4" s="12" t="s">
        <v>293</v>
      </c>
      <c r="B4" s="12" t="s">
        <v>294</v>
      </c>
      <c r="C4" s="19" t="s">
        <v>78</v>
      </c>
      <c r="D4" s="19" t="s">
        <v>79</v>
      </c>
      <c r="E4" s="12" t="s">
        <v>295</v>
      </c>
      <c r="F4" s="12" t="s">
        <v>296</v>
      </c>
      <c r="G4" s="12" t="s">
        <v>297</v>
      </c>
      <c r="H4" s="12" t="s">
        <v>298</v>
      </c>
      <c r="I4" s="12" t="s">
        <v>281</v>
      </c>
      <c r="J4" s="12" t="s">
        <v>299</v>
      </c>
      <c r="K4" s="12" t="s">
        <v>300</v>
      </c>
      <c r="L4" s="12" t="s">
        <v>301</v>
      </c>
      <c r="M4" s="12" t="s">
        <v>302</v>
      </c>
      <c r="N4" s="19" t="s">
        <v>303</v>
      </c>
      <c r="O4" s="12" t="s">
        <v>100</v>
      </c>
    </row>
    <row r="5" spans="1:15" x14ac:dyDescent="0.25">
      <c r="A5" s="20" t="s">
        <v>304</v>
      </c>
      <c r="B5" s="20" t="s">
        <v>101</v>
      </c>
      <c r="C5" s="25" t="str">
        <f>IF($B5="","",IFERROR(INDEX('Inventario General'!$B$5:$B$304,MATCH($B5,'Inventario General'!$A$5:$A$304,0))&amp;"","No está en el inventario"))</f>
        <v>Laptop</v>
      </c>
      <c r="D5" s="25" t="str">
        <f>IF($B5="","",IFERROR(INDEX('Inventario General'!$C$5:$C$304,MATCH($B5,'Inventario General'!$A$5:$A$304,0))&amp;"","No está en el inventario"))</f>
        <v>Dell</v>
      </c>
      <c r="E5" s="21">
        <v>46254</v>
      </c>
      <c r="F5" s="20" t="s">
        <v>305</v>
      </c>
      <c r="G5" s="20" t="s">
        <v>306</v>
      </c>
      <c r="H5" s="20" t="s">
        <v>307</v>
      </c>
      <c r="I5" s="22">
        <v>80</v>
      </c>
      <c r="J5" s="20" t="s">
        <v>125</v>
      </c>
      <c r="K5" s="43">
        <v>1.5</v>
      </c>
      <c r="L5" s="20" t="s">
        <v>308</v>
      </c>
      <c r="M5" s="21">
        <v>46438</v>
      </c>
      <c r="N5" s="49">
        <f t="shared" ref="N5:N36" ca="1" si="0">IF(M5="","",M5-TODAY())</f>
        <v>122</v>
      </c>
      <c r="O5" s="20" t="s">
        <v>129</v>
      </c>
    </row>
    <row r="6" spans="1:15" x14ac:dyDescent="0.25">
      <c r="A6" s="26"/>
      <c r="B6" s="26"/>
      <c r="C6" s="25" t="str">
        <f>IF($B6="","",IFERROR(INDEX('Inventario General'!$B$5:$B$304,MATCH($B6,'Inventario General'!$A$5:$A$304,0))&amp;"","No está en el inventario"))</f>
        <v/>
      </c>
      <c r="D6" s="25" t="str">
        <f>IF($B6="","",IFERROR(INDEX('Inventario General'!$C$5:$C$304,MATCH($B6,'Inventario General'!$A$5:$A$304,0))&amp;"","No está en el inventario"))</f>
        <v/>
      </c>
      <c r="E6" s="27"/>
      <c r="F6" s="26"/>
      <c r="G6" s="26"/>
      <c r="H6" s="26"/>
      <c r="I6" s="28"/>
      <c r="J6" s="26"/>
      <c r="K6" s="45"/>
      <c r="L6" s="26"/>
      <c r="M6" s="27"/>
      <c r="N6" s="49" t="str">
        <f t="shared" ca="1" si="0"/>
        <v/>
      </c>
      <c r="O6" s="26"/>
    </row>
    <row r="7" spans="1:15" x14ac:dyDescent="0.25">
      <c r="A7" s="26"/>
      <c r="B7" s="26"/>
      <c r="C7" s="25" t="str">
        <f>IF($B7="","",IFERROR(INDEX('Inventario General'!$B$5:$B$304,MATCH($B7,'Inventario General'!$A$5:$A$304,0))&amp;"","No está en el inventario"))</f>
        <v/>
      </c>
      <c r="D7" s="25" t="str">
        <f>IF($B7="","",IFERROR(INDEX('Inventario General'!$C$5:$C$304,MATCH($B7,'Inventario General'!$A$5:$A$304,0))&amp;"","No está en el inventario"))</f>
        <v/>
      </c>
      <c r="E7" s="27"/>
      <c r="F7" s="26"/>
      <c r="G7" s="26"/>
      <c r="H7" s="26"/>
      <c r="I7" s="28"/>
      <c r="J7" s="26"/>
      <c r="K7" s="45"/>
      <c r="L7" s="26"/>
      <c r="M7" s="27"/>
      <c r="N7" s="49" t="str">
        <f t="shared" ca="1" si="0"/>
        <v/>
      </c>
      <c r="O7" s="26"/>
    </row>
    <row r="8" spans="1:15" x14ac:dyDescent="0.25">
      <c r="A8" s="26"/>
      <c r="B8" s="26"/>
      <c r="C8" s="25" t="str">
        <f>IF($B8="","",IFERROR(INDEX('Inventario General'!$B$5:$B$304,MATCH($B8,'Inventario General'!$A$5:$A$304,0))&amp;"","No está en el inventario"))</f>
        <v/>
      </c>
      <c r="D8" s="25" t="str">
        <f>IF($B8="","",IFERROR(INDEX('Inventario General'!$C$5:$C$304,MATCH($B8,'Inventario General'!$A$5:$A$304,0))&amp;"","No está en el inventario"))</f>
        <v/>
      </c>
      <c r="E8" s="27"/>
      <c r="F8" s="26"/>
      <c r="G8" s="26"/>
      <c r="H8" s="26"/>
      <c r="I8" s="28"/>
      <c r="J8" s="26"/>
      <c r="K8" s="45"/>
      <c r="L8" s="26"/>
      <c r="M8" s="27"/>
      <c r="N8" s="49" t="str">
        <f t="shared" ca="1" si="0"/>
        <v/>
      </c>
      <c r="O8" s="26"/>
    </row>
    <row r="9" spans="1:15" x14ac:dyDescent="0.25">
      <c r="A9" s="26"/>
      <c r="B9" s="26"/>
      <c r="C9" s="25" t="str">
        <f>IF($B9="","",IFERROR(INDEX('Inventario General'!$B$5:$B$304,MATCH($B9,'Inventario General'!$A$5:$A$304,0))&amp;"","No está en el inventario"))</f>
        <v/>
      </c>
      <c r="D9" s="25" t="str">
        <f>IF($B9="","",IFERROR(INDEX('Inventario General'!$C$5:$C$304,MATCH($B9,'Inventario General'!$A$5:$A$304,0))&amp;"","No está en el inventario"))</f>
        <v/>
      </c>
      <c r="E9" s="27"/>
      <c r="F9" s="26"/>
      <c r="G9" s="26"/>
      <c r="H9" s="26"/>
      <c r="I9" s="28"/>
      <c r="J9" s="26"/>
      <c r="K9" s="45"/>
      <c r="L9" s="26"/>
      <c r="M9" s="27"/>
      <c r="N9" s="49" t="str">
        <f t="shared" ca="1" si="0"/>
        <v/>
      </c>
      <c r="O9" s="26"/>
    </row>
    <row r="10" spans="1:15" x14ac:dyDescent="0.25">
      <c r="A10" s="26"/>
      <c r="B10" s="26"/>
      <c r="C10" s="25" t="str">
        <f>IF($B10="","",IFERROR(INDEX('Inventario General'!$B$5:$B$304,MATCH($B10,'Inventario General'!$A$5:$A$304,0))&amp;"","No está en el inventario"))</f>
        <v/>
      </c>
      <c r="D10" s="25" t="str">
        <f>IF($B10="","",IFERROR(INDEX('Inventario General'!$C$5:$C$304,MATCH($B10,'Inventario General'!$A$5:$A$304,0))&amp;"","No está en el inventario"))</f>
        <v/>
      </c>
      <c r="E10" s="27"/>
      <c r="F10" s="26"/>
      <c r="G10" s="26"/>
      <c r="H10" s="26"/>
      <c r="I10" s="28"/>
      <c r="J10" s="26"/>
      <c r="K10" s="45"/>
      <c r="L10" s="26"/>
      <c r="M10" s="27"/>
      <c r="N10" s="49" t="str">
        <f t="shared" ca="1" si="0"/>
        <v/>
      </c>
      <c r="O10" s="26"/>
    </row>
    <row r="11" spans="1:15" x14ac:dyDescent="0.25">
      <c r="A11" s="26"/>
      <c r="B11" s="26"/>
      <c r="C11" s="25" t="str">
        <f>IF($B11="","",IFERROR(INDEX('Inventario General'!$B$5:$B$304,MATCH($B11,'Inventario General'!$A$5:$A$304,0))&amp;"","No está en el inventario"))</f>
        <v/>
      </c>
      <c r="D11" s="25" t="str">
        <f>IF($B11="","",IFERROR(INDEX('Inventario General'!$C$5:$C$304,MATCH($B11,'Inventario General'!$A$5:$A$304,0))&amp;"","No está en el inventario"))</f>
        <v/>
      </c>
      <c r="E11" s="27"/>
      <c r="F11" s="26"/>
      <c r="G11" s="26"/>
      <c r="H11" s="26"/>
      <c r="I11" s="28"/>
      <c r="J11" s="26"/>
      <c r="K11" s="45"/>
      <c r="L11" s="26"/>
      <c r="M11" s="27"/>
      <c r="N11" s="49" t="str">
        <f t="shared" ca="1" si="0"/>
        <v/>
      </c>
      <c r="O11" s="26"/>
    </row>
    <row r="12" spans="1:15" x14ac:dyDescent="0.25">
      <c r="A12" s="26"/>
      <c r="B12" s="26"/>
      <c r="C12" s="25" t="str">
        <f>IF($B12="","",IFERROR(INDEX('Inventario General'!$B$5:$B$304,MATCH($B12,'Inventario General'!$A$5:$A$304,0))&amp;"","No está en el inventario"))</f>
        <v/>
      </c>
      <c r="D12" s="25" t="str">
        <f>IF($B12="","",IFERROR(INDEX('Inventario General'!$C$5:$C$304,MATCH($B12,'Inventario General'!$A$5:$A$304,0))&amp;"","No está en el inventario"))</f>
        <v/>
      </c>
      <c r="E12" s="27"/>
      <c r="F12" s="26"/>
      <c r="G12" s="26"/>
      <c r="H12" s="26"/>
      <c r="I12" s="28"/>
      <c r="J12" s="26"/>
      <c r="K12" s="45"/>
      <c r="L12" s="26"/>
      <c r="M12" s="27"/>
      <c r="N12" s="49" t="str">
        <f t="shared" ca="1" si="0"/>
        <v/>
      </c>
      <c r="O12" s="26"/>
    </row>
    <row r="13" spans="1:15" x14ac:dyDescent="0.25">
      <c r="A13" s="26"/>
      <c r="B13" s="26"/>
      <c r="C13" s="25" t="str">
        <f>IF($B13="","",IFERROR(INDEX('Inventario General'!$B$5:$B$304,MATCH($B13,'Inventario General'!$A$5:$A$304,0))&amp;"","No está en el inventario"))</f>
        <v/>
      </c>
      <c r="D13" s="25" t="str">
        <f>IF($B13="","",IFERROR(INDEX('Inventario General'!$C$5:$C$304,MATCH($B13,'Inventario General'!$A$5:$A$304,0))&amp;"","No está en el inventario"))</f>
        <v/>
      </c>
      <c r="E13" s="27"/>
      <c r="F13" s="26"/>
      <c r="G13" s="26"/>
      <c r="H13" s="26"/>
      <c r="I13" s="28"/>
      <c r="J13" s="26"/>
      <c r="K13" s="45"/>
      <c r="L13" s="26"/>
      <c r="M13" s="27"/>
      <c r="N13" s="49" t="str">
        <f t="shared" ca="1" si="0"/>
        <v/>
      </c>
      <c r="O13" s="26"/>
    </row>
    <row r="14" spans="1:15" x14ac:dyDescent="0.25">
      <c r="A14" s="26"/>
      <c r="B14" s="26"/>
      <c r="C14" s="25" t="str">
        <f>IF($B14="","",IFERROR(INDEX('Inventario General'!$B$5:$B$304,MATCH($B14,'Inventario General'!$A$5:$A$304,0))&amp;"","No está en el inventario"))</f>
        <v/>
      </c>
      <c r="D14" s="25" t="str">
        <f>IF($B14="","",IFERROR(INDEX('Inventario General'!$C$5:$C$304,MATCH($B14,'Inventario General'!$A$5:$A$304,0))&amp;"","No está en el inventario"))</f>
        <v/>
      </c>
      <c r="E14" s="27"/>
      <c r="F14" s="26"/>
      <c r="G14" s="26"/>
      <c r="H14" s="26"/>
      <c r="I14" s="28"/>
      <c r="J14" s="26"/>
      <c r="K14" s="45"/>
      <c r="L14" s="26"/>
      <c r="M14" s="27"/>
      <c r="N14" s="49" t="str">
        <f t="shared" ca="1" si="0"/>
        <v/>
      </c>
      <c r="O14" s="26"/>
    </row>
    <row r="15" spans="1:15" x14ac:dyDescent="0.25">
      <c r="A15" s="26"/>
      <c r="B15" s="26"/>
      <c r="C15" s="25" t="str">
        <f>IF($B15="","",IFERROR(INDEX('Inventario General'!$B$5:$B$304,MATCH($B15,'Inventario General'!$A$5:$A$304,0))&amp;"","No está en el inventario"))</f>
        <v/>
      </c>
      <c r="D15" s="25" t="str">
        <f>IF($B15="","",IFERROR(INDEX('Inventario General'!$C$5:$C$304,MATCH($B15,'Inventario General'!$A$5:$A$304,0))&amp;"","No está en el inventario"))</f>
        <v/>
      </c>
      <c r="E15" s="27"/>
      <c r="F15" s="26"/>
      <c r="G15" s="26"/>
      <c r="H15" s="26"/>
      <c r="I15" s="28"/>
      <c r="J15" s="26"/>
      <c r="K15" s="45"/>
      <c r="L15" s="26"/>
      <c r="M15" s="27"/>
      <c r="N15" s="49" t="str">
        <f t="shared" ca="1" si="0"/>
        <v/>
      </c>
      <c r="O15" s="26"/>
    </row>
    <row r="16" spans="1:15" x14ac:dyDescent="0.25">
      <c r="A16" s="26"/>
      <c r="B16" s="26"/>
      <c r="C16" s="25" t="str">
        <f>IF($B16="","",IFERROR(INDEX('Inventario General'!$B$5:$B$304,MATCH($B16,'Inventario General'!$A$5:$A$304,0))&amp;"","No está en el inventario"))</f>
        <v/>
      </c>
      <c r="D16" s="25" t="str">
        <f>IF($B16="","",IFERROR(INDEX('Inventario General'!$C$5:$C$304,MATCH($B16,'Inventario General'!$A$5:$A$304,0))&amp;"","No está en el inventario"))</f>
        <v/>
      </c>
      <c r="E16" s="27"/>
      <c r="F16" s="26"/>
      <c r="G16" s="26"/>
      <c r="H16" s="26"/>
      <c r="I16" s="28"/>
      <c r="J16" s="26"/>
      <c r="K16" s="45"/>
      <c r="L16" s="26"/>
      <c r="M16" s="27"/>
      <c r="N16" s="49" t="str">
        <f t="shared" ca="1" si="0"/>
        <v/>
      </c>
      <c r="O16" s="26"/>
    </row>
    <row r="17" spans="1:15" x14ac:dyDescent="0.25">
      <c r="A17" s="26"/>
      <c r="B17" s="26"/>
      <c r="C17" s="25" t="str">
        <f>IF($B17="","",IFERROR(INDEX('Inventario General'!$B$5:$B$304,MATCH($B17,'Inventario General'!$A$5:$A$304,0))&amp;"","No está en el inventario"))</f>
        <v/>
      </c>
      <c r="D17" s="25" t="str">
        <f>IF($B17="","",IFERROR(INDEX('Inventario General'!$C$5:$C$304,MATCH($B17,'Inventario General'!$A$5:$A$304,0))&amp;"","No está en el inventario"))</f>
        <v/>
      </c>
      <c r="E17" s="27"/>
      <c r="F17" s="26"/>
      <c r="G17" s="26"/>
      <c r="H17" s="26"/>
      <c r="I17" s="28"/>
      <c r="J17" s="26"/>
      <c r="K17" s="45"/>
      <c r="L17" s="26"/>
      <c r="M17" s="27"/>
      <c r="N17" s="49" t="str">
        <f t="shared" ca="1" si="0"/>
        <v/>
      </c>
      <c r="O17" s="26"/>
    </row>
    <row r="18" spans="1:15" x14ac:dyDescent="0.25">
      <c r="A18" s="26"/>
      <c r="B18" s="26"/>
      <c r="C18" s="25" t="str">
        <f>IF($B18="","",IFERROR(INDEX('Inventario General'!$B$5:$B$304,MATCH($B18,'Inventario General'!$A$5:$A$304,0))&amp;"","No está en el inventario"))</f>
        <v/>
      </c>
      <c r="D18" s="25" t="str">
        <f>IF($B18="","",IFERROR(INDEX('Inventario General'!$C$5:$C$304,MATCH($B18,'Inventario General'!$A$5:$A$304,0))&amp;"","No está en el inventario"))</f>
        <v/>
      </c>
      <c r="E18" s="27"/>
      <c r="F18" s="26"/>
      <c r="G18" s="26"/>
      <c r="H18" s="26"/>
      <c r="I18" s="28"/>
      <c r="J18" s="26"/>
      <c r="K18" s="45"/>
      <c r="L18" s="26"/>
      <c r="M18" s="27"/>
      <c r="N18" s="49" t="str">
        <f t="shared" ca="1" si="0"/>
        <v/>
      </c>
      <c r="O18" s="26"/>
    </row>
    <row r="19" spans="1:15" x14ac:dyDescent="0.25">
      <c r="A19" s="26"/>
      <c r="B19" s="26"/>
      <c r="C19" s="25" t="str">
        <f>IF($B19="","",IFERROR(INDEX('Inventario General'!$B$5:$B$304,MATCH($B19,'Inventario General'!$A$5:$A$304,0))&amp;"","No está en el inventario"))</f>
        <v/>
      </c>
      <c r="D19" s="25" t="str">
        <f>IF($B19="","",IFERROR(INDEX('Inventario General'!$C$5:$C$304,MATCH($B19,'Inventario General'!$A$5:$A$304,0))&amp;"","No está en el inventario"))</f>
        <v/>
      </c>
      <c r="E19" s="27"/>
      <c r="F19" s="26"/>
      <c r="G19" s="26"/>
      <c r="H19" s="26"/>
      <c r="I19" s="28"/>
      <c r="J19" s="26"/>
      <c r="K19" s="45"/>
      <c r="L19" s="26"/>
      <c r="M19" s="27"/>
      <c r="N19" s="49" t="str">
        <f t="shared" ca="1" si="0"/>
        <v/>
      </c>
      <c r="O19" s="26"/>
    </row>
    <row r="20" spans="1:15" x14ac:dyDescent="0.25">
      <c r="A20" s="26"/>
      <c r="B20" s="26"/>
      <c r="C20" s="25" t="str">
        <f>IF($B20="","",IFERROR(INDEX('Inventario General'!$B$5:$B$304,MATCH($B20,'Inventario General'!$A$5:$A$304,0))&amp;"","No está en el inventario"))</f>
        <v/>
      </c>
      <c r="D20" s="25" t="str">
        <f>IF($B20="","",IFERROR(INDEX('Inventario General'!$C$5:$C$304,MATCH($B20,'Inventario General'!$A$5:$A$304,0))&amp;"","No está en el inventario"))</f>
        <v/>
      </c>
      <c r="E20" s="27"/>
      <c r="F20" s="26"/>
      <c r="G20" s="26"/>
      <c r="H20" s="26"/>
      <c r="I20" s="28"/>
      <c r="J20" s="26"/>
      <c r="K20" s="45"/>
      <c r="L20" s="26"/>
      <c r="M20" s="27"/>
      <c r="N20" s="49" t="str">
        <f t="shared" ca="1" si="0"/>
        <v/>
      </c>
      <c r="O20" s="26"/>
    </row>
    <row r="21" spans="1:15" x14ac:dyDescent="0.25">
      <c r="A21" s="26"/>
      <c r="B21" s="26"/>
      <c r="C21" s="25" t="str">
        <f>IF($B21="","",IFERROR(INDEX('Inventario General'!$B$5:$B$304,MATCH($B21,'Inventario General'!$A$5:$A$304,0))&amp;"","No está en el inventario"))</f>
        <v/>
      </c>
      <c r="D21" s="25" t="str">
        <f>IF($B21="","",IFERROR(INDEX('Inventario General'!$C$5:$C$304,MATCH($B21,'Inventario General'!$A$5:$A$304,0))&amp;"","No está en el inventario"))</f>
        <v/>
      </c>
      <c r="E21" s="27"/>
      <c r="F21" s="26"/>
      <c r="G21" s="26"/>
      <c r="H21" s="26"/>
      <c r="I21" s="28"/>
      <c r="J21" s="26"/>
      <c r="K21" s="45"/>
      <c r="L21" s="26"/>
      <c r="M21" s="27"/>
      <c r="N21" s="49" t="str">
        <f t="shared" ca="1" si="0"/>
        <v/>
      </c>
      <c r="O21" s="26"/>
    </row>
    <row r="22" spans="1:15" x14ac:dyDescent="0.25">
      <c r="A22" s="26"/>
      <c r="B22" s="26"/>
      <c r="C22" s="25" t="str">
        <f>IF($B22="","",IFERROR(INDEX('Inventario General'!$B$5:$B$304,MATCH($B22,'Inventario General'!$A$5:$A$304,0))&amp;"","No está en el inventario"))</f>
        <v/>
      </c>
      <c r="D22" s="25" t="str">
        <f>IF($B22="","",IFERROR(INDEX('Inventario General'!$C$5:$C$304,MATCH($B22,'Inventario General'!$A$5:$A$304,0))&amp;"","No está en el inventario"))</f>
        <v/>
      </c>
      <c r="E22" s="27"/>
      <c r="F22" s="26"/>
      <c r="G22" s="26"/>
      <c r="H22" s="26"/>
      <c r="I22" s="28"/>
      <c r="J22" s="26"/>
      <c r="K22" s="45"/>
      <c r="L22" s="26"/>
      <c r="M22" s="27"/>
      <c r="N22" s="49" t="str">
        <f t="shared" ca="1" si="0"/>
        <v/>
      </c>
      <c r="O22" s="26"/>
    </row>
    <row r="23" spans="1:15" x14ac:dyDescent="0.25">
      <c r="A23" s="26"/>
      <c r="B23" s="26"/>
      <c r="C23" s="25" t="str">
        <f>IF($B23="","",IFERROR(INDEX('Inventario General'!$B$5:$B$304,MATCH($B23,'Inventario General'!$A$5:$A$304,0))&amp;"","No está en el inventario"))</f>
        <v/>
      </c>
      <c r="D23" s="25" t="str">
        <f>IF($B23="","",IFERROR(INDEX('Inventario General'!$C$5:$C$304,MATCH($B23,'Inventario General'!$A$5:$A$304,0))&amp;"","No está en el inventario"))</f>
        <v/>
      </c>
      <c r="E23" s="27"/>
      <c r="F23" s="26"/>
      <c r="G23" s="26"/>
      <c r="H23" s="26"/>
      <c r="I23" s="28"/>
      <c r="J23" s="26"/>
      <c r="K23" s="45"/>
      <c r="L23" s="26"/>
      <c r="M23" s="27"/>
      <c r="N23" s="49" t="str">
        <f t="shared" ca="1" si="0"/>
        <v/>
      </c>
      <c r="O23" s="26"/>
    </row>
    <row r="24" spans="1:15" x14ac:dyDescent="0.25">
      <c r="A24" s="26"/>
      <c r="B24" s="26"/>
      <c r="C24" s="25" t="str">
        <f>IF($B24="","",IFERROR(INDEX('Inventario General'!$B$5:$B$304,MATCH($B24,'Inventario General'!$A$5:$A$304,0))&amp;"","No está en el inventario"))</f>
        <v/>
      </c>
      <c r="D24" s="25" t="str">
        <f>IF($B24="","",IFERROR(INDEX('Inventario General'!$C$5:$C$304,MATCH($B24,'Inventario General'!$A$5:$A$304,0))&amp;"","No está en el inventario"))</f>
        <v/>
      </c>
      <c r="E24" s="27"/>
      <c r="F24" s="26"/>
      <c r="G24" s="26"/>
      <c r="H24" s="26"/>
      <c r="I24" s="28"/>
      <c r="J24" s="26"/>
      <c r="K24" s="45"/>
      <c r="L24" s="26"/>
      <c r="M24" s="27"/>
      <c r="N24" s="49" t="str">
        <f t="shared" ca="1" si="0"/>
        <v/>
      </c>
      <c r="O24" s="26"/>
    </row>
    <row r="25" spans="1:15" x14ac:dyDescent="0.25">
      <c r="A25" s="26"/>
      <c r="B25" s="26"/>
      <c r="C25" s="25" t="str">
        <f>IF($B25="","",IFERROR(INDEX('Inventario General'!$B$5:$B$304,MATCH($B25,'Inventario General'!$A$5:$A$304,0))&amp;"","No está en el inventario"))</f>
        <v/>
      </c>
      <c r="D25" s="25" t="str">
        <f>IF($B25="","",IFERROR(INDEX('Inventario General'!$C$5:$C$304,MATCH($B25,'Inventario General'!$A$5:$A$304,0))&amp;"","No está en el inventario"))</f>
        <v/>
      </c>
      <c r="E25" s="27"/>
      <c r="F25" s="26"/>
      <c r="G25" s="26"/>
      <c r="H25" s="26"/>
      <c r="I25" s="28"/>
      <c r="J25" s="26"/>
      <c r="K25" s="45"/>
      <c r="L25" s="26"/>
      <c r="M25" s="27"/>
      <c r="N25" s="49" t="str">
        <f t="shared" ca="1" si="0"/>
        <v/>
      </c>
      <c r="O25" s="26"/>
    </row>
    <row r="26" spans="1:15" x14ac:dyDescent="0.25">
      <c r="A26" s="26"/>
      <c r="B26" s="26"/>
      <c r="C26" s="25" t="str">
        <f>IF($B26="","",IFERROR(INDEX('Inventario General'!$B$5:$B$304,MATCH($B26,'Inventario General'!$A$5:$A$304,0))&amp;"","No está en el inventario"))</f>
        <v/>
      </c>
      <c r="D26" s="25" t="str">
        <f>IF($B26="","",IFERROR(INDEX('Inventario General'!$C$5:$C$304,MATCH($B26,'Inventario General'!$A$5:$A$304,0))&amp;"","No está en el inventario"))</f>
        <v/>
      </c>
      <c r="E26" s="27"/>
      <c r="F26" s="26"/>
      <c r="G26" s="26"/>
      <c r="H26" s="26"/>
      <c r="I26" s="28"/>
      <c r="J26" s="26"/>
      <c r="K26" s="45"/>
      <c r="L26" s="26"/>
      <c r="M26" s="27"/>
      <c r="N26" s="49" t="str">
        <f t="shared" ca="1" si="0"/>
        <v/>
      </c>
      <c r="O26" s="26"/>
    </row>
    <row r="27" spans="1:15" x14ac:dyDescent="0.25">
      <c r="A27" s="26"/>
      <c r="B27" s="26"/>
      <c r="C27" s="25" t="str">
        <f>IF($B27="","",IFERROR(INDEX('Inventario General'!$B$5:$B$304,MATCH($B27,'Inventario General'!$A$5:$A$304,0))&amp;"","No está en el inventario"))</f>
        <v/>
      </c>
      <c r="D27" s="25" t="str">
        <f>IF($B27="","",IFERROR(INDEX('Inventario General'!$C$5:$C$304,MATCH($B27,'Inventario General'!$A$5:$A$304,0))&amp;"","No está en el inventario"))</f>
        <v/>
      </c>
      <c r="E27" s="27"/>
      <c r="F27" s="26"/>
      <c r="G27" s="26"/>
      <c r="H27" s="26"/>
      <c r="I27" s="28"/>
      <c r="J27" s="26"/>
      <c r="K27" s="45"/>
      <c r="L27" s="26"/>
      <c r="M27" s="27"/>
      <c r="N27" s="49" t="str">
        <f t="shared" ca="1" si="0"/>
        <v/>
      </c>
      <c r="O27" s="26"/>
    </row>
    <row r="28" spans="1:15" x14ac:dyDescent="0.25">
      <c r="A28" s="26"/>
      <c r="B28" s="26"/>
      <c r="C28" s="25" t="str">
        <f>IF($B28="","",IFERROR(INDEX('Inventario General'!$B$5:$B$304,MATCH($B28,'Inventario General'!$A$5:$A$304,0))&amp;"","No está en el inventario"))</f>
        <v/>
      </c>
      <c r="D28" s="25" t="str">
        <f>IF($B28="","",IFERROR(INDEX('Inventario General'!$C$5:$C$304,MATCH($B28,'Inventario General'!$A$5:$A$304,0))&amp;"","No está en el inventario"))</f>
        <v/>
      </c>
      <c r="E28" s="27"/>
      <c r="F28" s="26"/>
      <c r="G28" s="26"/>
      <c r="H28" s="26"/>
      <c r="I28" s="28"/>
      <c r="J28" s="26"/>
      <c r="K28" s="45"/>
      <c r="L28" s="26"/>
      <c r="M28" s="27"/>
      <c r="N28" s="49" t="str">
        <f t="shared" ca="1" si="0"/>
        <v/>
      </c>
      <c r="O28" s="26"/>
    </row>
    <row r="29" spans="1:15" x14ac:dyDescent="0.25">
      <c r="A29" s="26"/>
      <c r="B29" s="26"/>
      <c r="C29" s="25" t="str">
        <f>IF($B29="","",IFERROR(INDEX('Inventario General'!$B$5:$B$304,MATCH($B29,'Inventario General'!$A$5:$A$304,0))&amp;"","No está en el inventario"))</f>
        <v/>
      </c>
      <c r="D29" s="25" t="str">
        <f>IF($B29="","",IFERROR(INDEX('Inventario General'!$C$5:$C$304,MATCH($B29,'Inventario General'!$A$5:$A$304,0))&amp;"","No está en el inventario"))</f>
        <v/>
      </c>
      <c r="E29" s="27"/>
      <c r="F29" s="26"/>
      <c r="G29" s="26"/>
      <c r="H29" s="26"/>
      <c r="I29" s="28"/>
      <c r="J29" s="26"/>
      <c r="K29" s="45"/>
      <c r="L29" s="26"/>
      <c r="M29" s="27"/>
      <c r="N29" s="49" t="str">
        <f t="shared" ca="1" si="0"/>
        <v/>
      </c>
      <c r="O29" s="26"/>
    </row>
    <row r="30" spans="1:15" x14ac:dyDescent="0.25">
      <c r="A30" s="26"/>
      <c r="B30" s="26"/>
      <c r="C30" s="25" t="str">
        <f>IF($B30="","",IFERROR(INDEX('Inventario General'!$B$5:$B$304,MATCH($B30,'Inventario General'!$A$5:$A$304,0))&amp;"","No está en el inventario"))</f>
        <v/>
      </c>
      <c r="D30" s="25" t="str">
        <f>IF($B30="","",IFERROR(INDEX('Inventario General'!$C$5:$C$304,MATCH($B30,'Inventario General'!$A$5:$A$304,0))&amp;"","No está en el inventario"))</f>
        <v/>
      </c>
      <c r="E30" s="27"/>
      <c r="F30" s="26"/>
      <c r="G30" s="26"/>
      <c r="H30" s="26"/>
      <c r="I30" s="28"/>
      <c r="J30" s="26"/>
      <c r="K30" s="45"/>
      <c r="L30" s="26"/>
      <c r="M30" s="27"/>
      <c r="N30" s="49" t="str">
        <f t="shared" ca="1" si="0"/>
        <v/>
      </c>
      <c r="O30" s="26"/>
    </row>
    <row r="31" spans="1:15" x14ac:dyDescent="0.25">
      <c r="A31" s="26"/>
      <c r="B31" s="26"/>
      <c r="C31" s="25" t="str">
        <f>IF($B31="","",IFERROR(INDEX('Inventario General'!$B$5:$B$304,MATCH($B31,'Inventario General'!$A$5:$A$304,0))&amp;"","No está en el inventario"))</f>
        <v/>
      </c>
      <c r="D31" s="25" t="str">
        <f>IF($B31="","",IFERROR(INDEX('Inventario General'!$C$5:$C$304,MATCH($B31,'Inventario General'!$A$5:$A$304,0))&amp;"","No está en el inventario"))</f>
        <v/>
      </c>
      <c r="E31" s="27"/>
      <c r="F31" s="26"/>
      <c r="G31" s="26"/>
      <c r="H31" s="26"/>
      <c r="I31" s="28"/>
      <c r="J31" s="26"/>
      <c r="K31" s="45"/>
      <c r="L31" s="26"/>
      <c r="M31" s="27"/>
      <c r="N31" s="49" t="str">
        <f t="shared" ca="1" si="0"/>
        <v/>
      </c>
      <c r="O31" s="26"/>
    </row>
    <row r="32" spans="1:15" x14ac:dyDescent="0.25">
      <c r="A32" s="26"/>
      <c r="B32" s="26"/>
      <c r="C32" s="25" t="str">
        <f>IF($B32="","",IFERROR(INDEX('Inventario General'!$B$5:$B$304,MATCH($B32,'Inventario General'!$A$5:$A$304,0))&amp;"","No está en el inventario"))</f>
        <v/>
      </c>
      <c r="D32" s="25" t="str">
        <f>IF($B32="","",IFERROR(INDEX('Inventario General'!$C$5:$C$304,MATCH($B32,'Inventario General'!$A$5:$A$304,0))&amp;"","No está en el inventario"))</f>
        <v/>
      </c>
      <c r="E32" s="27"/>
      <c r="F32" s="26"/>
      <c r="G32" s="26"/>
      <c r="H32" s="26"/>
      <c r="I32" s="28"/>
      <c r="J32" s="26"/>
      <c r="K32" s="45"/>
      <c r="L32" s="26"/>
      <c r="M32" s="27"/>
      <c r="N32" s="49" t="str">
        <f t="shared" ca="1" si="0"/>
        <v/>
      </c>
      <c r="O32" s="26"/>
    </row>
    <row r="33" spans="1:15" x14ac:dyDescent="0.25">
      <c r="A33" s="26"/>
      <c r="B33" s="26"/>
      <c r="C33" s="25" t="str">
        <f>IF($B33="","",IFERROR(INDEX('Inventario General'!$B$5:$B$304,MATCH($B33,'Inventario General'!$A$5:$A$304,0))&amp;"","No está en el inventario"))</f>
        <v/>
      </c>
      <c r="D33" s="25" t="str">
        <f>IF($B33="","",IFERROR(INDEX('Inventario General'!$C$5:$C$304,MATCH($B33,'Inventario General'!$A$5:$A$304,0))&amp;"","No está en el inventario"))</f>
        <v/>
      </c>
      <c r="E33" s="27"/>
      <c r="F33" s="26"/>
      <c r="G33" s="26"/>
      <c r="H33" s="26"/>
      <c r="I33" s="28"/>
      <c r="J33" s="26"/>
      <c r="K33" s="45"/>
      <c r="L33" s="26"/>
      <c r="M33" s="27"/>
      <c r="N33" s="49" t="str">
        <f t="shared" ca="1" si="0"/>
        <v/>
      </c>
      <c r="O33" s="26"/>
    </row>
    <row r="34" spans="1:15" x14ac:dyDescent="0.25">
      <c r="A34" s="26"/>
      <c r="B34" s="26"/>
      <c r="C34" s="25" t="str">
        <f>IF($B34="","",IFERROR(INDEX('Inventario General'!$B$5:$B$304,MATCH($B34,'Inventario General'!$A$5:$A$304,0))&amp;"","No está en el inventario"))</f>
        <v/>
      </c>
      <c r="D34" s="25" t="str">
        <f>IF($B34="","",IFERROR(INDEX('Inventario General'!$C$5:$C$304,MATCH($B34,'Inventario General'!$A$5:$A$304,0))&amp;"","No está en el inventario"))</f>
        <v/>
      </c>
      <c r="E34" s="27"/>
      <c r="F34" s="26"/>
      <c r="G34" s="26"/>
      <c r="H34" s="26"/>
      <c r="I34" s="28"/>
      <c r="J34" s="26"/>
      <c r="K34" s="45"/>
      <c r="L34" s="26"/>
      <c r="M34" s="27"/>
      <c r="N34" s="49" t="str">
        <f t="shared" ca="1" si="0"/>
        <v/>
      </c>
      <c r="O34" s="26"/>
    </row>
    <row r="35" spans="1:15" x14ac:dyDescent="0.25">
      <c r="A35" s="26"/>
      <c r="B35" s="26"/>
      <c r="C35" s="25" t="str">
        <f>IF($B35="","",IFERROR(INDEX('Inventario General'!$B$5:$B$304,MATCH($B35,'Inventario General'!$A$5:$A$304,0))&amp;"","No está en el inventario"))</f>
        <v/>
      </c>
      <c r="D35" s="25" t="str">
        <f>IF($B35="","",IFERROR(INDEX('Inventario General'!$C$5:$C$304,MATCH($B35,'Inventario General'!$A$5:$A$304,0))&amp;"","No está en el inventario"))</f>
        <v/>
      </c>
      <c r="E35" s="27"/>
      <c r="F35" s="26"/>
      <c r="G35" s="26"/>
      <c r="H35" s="26"/>
      <c r="I35" s="28"/>
      <c r="J35" s="26"/>
      <c r="K35" s="45"/>
      <c r="L35" s="26"/>
      <c r="M35" s="27"/>
      <c r="N35" s="49" t="str">
        <f t="shared" ca="1" si="0"/>
        <v/>
      </c>
      <c r="O35" s="26"/>
    </row>
    <row r="36" spans="1:15" x14ac:dyDescent="0.25">
      <c r="A36" s="26"/>
      <c r="B36" s="26"/>
      <c r="C36" s="25" t="str">
        <f>IF($B36="","",IFERROR(INDEX('Inventario General'!$B$5:$B$304,MATCH($B36,'Inventario General'!$A$5:$A$304,0))&amp;"","No está en el inventario"))</f>
        <v/>
      </c>
      <c r="D36" s="25" t="str">
        <f>IF($B36="","",IFERROR(INDEX('Inventario General'!$C$5:$C$304,MATCH($B36,'Inventario General'!$A$5:$A$304,0))&amp;"","No está en el inventario"))</f>
        <v/>
      </c>
      <c r="E36" s="27"/>
      <c r="F36" s="26"/>
      <c r="G36" s="26"/>
      <c r="H36" s="26"/>
      <c r="I36" s="28"/>
      <c r="J36" s="26"/>
      <c r="K36" s="45"/>
      <c r="L36" s="26"/>
      <c r="M36" s="27"/>
      <c r="N36" s="49" t="str">
        <f t="shared" ca="1" si="0"/>
        <v/>
      </c>
      <c r="O36" s="26"/>
    </row>
    <row r="37" spans="1:15" x14ac:dyDescent="0.25">
      <c r="A37" s="26"/>
      <c r="B37" s="26"/>
      <c r="C37" s="25" t="str">
        <f>IF($B37="","",IFERROR(INDEX('Inventario General'!$B$5:$B$304,MATCH($B37,'Inventario General'!$A$5:$A$304,0))&amp;"","No está en el inventario"))</f>
        <v/>
      </c>
      <c r="D37" s="25" t="str">
        <f>IF($B37="","",IFERROR(INDEX('Inventario General'!$C$5:$C$304,MATCH($B37,'Inventario General'!$A$5:$A$304,0))&amp;"","No está en el inventario"))</f>
        <v/>
      </c>
      <c r="E37" s="27"/>
      <c r="F37" s="26"/>
      <c r="G37" s="26"/>
      <c r="H37" s="26"/>
      <c r="I37" s="28"/>
      <c r="J37" s="26"/>
      <c r="K37" s="45"/>
      <c r="L37" s="26"/>
      <c r="M37" s="27"/>
      <c r="N37" s="49" t="str">
        <f t="shared" ref="N37:N68" ca="1" si="1">IF(M37="","",M37-TODAY())</f>
        <v/>
      </c>
      <c r="O37" s="26"/>
    </row>
    <row r="38" spans="1:15" x14ac:dyDescent="0.25">
      <c r="A38" s="26"/>
      <c r="B38" s="26"/>
      <c r="C38" s="25" t="str">
        <f>IF($B38="","",IFERROR(INDEX('Inventario General'!$B$5:$B$304,MATCH($B38,'Inventario General'!$A$5:$A$304,0))&amp;"","No está en el inventario"))</f>
        <v/>
      </c>
      <c r="D38" s="25" t="str">
        <f>IF($B38="","",IFERROR(INDEX('Inventario General'!$C$5:$C$304,MATCH($B38,'Inventario General'!$A$5:$A$304,0))&amp;"","No está en el inventario"))</f>
        <v/>
      </c>
      <c r="E38" s="27"/>
      <c r="F38" s="26"/>
      <c r="G38" s="26"/>
      <c r="H38" s="26"/>
      <c r="I38" s="28"/>
      <c r="J38" s="26"/>
      <c r="K38" s="45"/>
      <c r="L38" s="26"/>
      <c r="M38" s="27"/>
      <c r="N38" s="49" t="str">
        <f t="shared" ca="1" si="1"/>
        <v/>
      </c>
      <c r="O38" s="26"/>
    </row>
    <row r="39" spans="1:15" x14ac:dyDescent="0.25">
      <c r="A39" s="26"/>
      <c r="B39" s="26"/>
      <c r="C39" s="25" t="str">
        <f>IF($B39="","",IFERROR(INDEX('Inventario General'!$B$5:$B$304,MATCH($B39,'Inventario General'!$A$5:$A$304,0))&amp;"","No está en el inventario"))</f>
        <v/>
      </c>
      <c r="D39" s="25" t="str">
        <f>IF($B39="","",IFERROR(INDEX('Inventario General'!$C$5:$C$304,MATCH($B39,'Inventario General'!$A$5:$A$304,0))&amp;"","No está en el inventario"))</f>
        <v/>
      </c>
      <c r="E39" s="27"/>
      <c r="F39" s="26"/>
      <c r="G39" s="26"/>
      <c r="H39" s="26"/>
      <c r="I39" s="28"/>
      <c r="J39" s="26"/>
      <c r="K39" s="45"/>
      <c r="L39" s="26"/>
      <c r="M39" s="27"/>
      <c r="N39" s="49" t="str">
        <f t="shared" ca="1" si="1"/>
        <v/>
      </c>
      <c r="O39" s="26"/>
    </row>
    <row r="40" spans="1:15" x14ac:dyDescent="0.25">
      <c r="A40" s="26"/>
      <c r="B40" s="26"/>
      <c r="C40" s="25" t="str">
        <f>IF($B40="","",IFERROR(INDEX('Inventario General'!$B$5:$B$304,MATCH($B40,'Inventario General'!$A$5:$A$304,0))&amp;"","No está en el inventario"))</f>
        <v/>
      </c>
      <c r="D40" s="25" t="str">
        <f>IF($B40="","",IFERROR(INDEX('Inventario General'!$C$5:$C$304,MATCH($B40,'Inventario General'!$A$5:$A$304,0))&amp;"","No está en el inventario"))</f>
        <v/>
      </c>
      <c r="E40" s="27"/>
      <c r="F40" s="26"/>
      <c r="G40" s="26"/>
      <c r="H40" s="26"/>
      <c r="I40" s="28"/>
      <c r="J40" s="26"/>
      <c r="K40" s="45"/>
      <c r="L40" s="26"/>
      <c r="M40" s="27"/>
      <c r="N40" s="49" t="str">
        <f t="shared" ca="1" si="1"/>
        <v/>
      </c>
      <c r="O40" s="26"/>
    </row>
    <row r="41" spans="1:15" x14ac:dyDescent="0.25">
      <c r="A41" s="26"/>
      <c r="B41" s="26"/>
      <c r="C41" s="25" t="str">
        <f>IF($B41="","",IFERROR(INDEX('Inventario General'!$B$5:$B$304,MATCH($B41,'Inventario General'!$A$5:$A$304,0))&amp;"","No está en el inventario"))</f>
        <v/>
      </c>
      <c r="D41" s="25" t="str">
        <f>IF($B41="","",IFERROR(INDEX('Inventario General'!$C$5:$C$304,MATCH($B41,'Inventario General'!$A$5:$A$304,0))&amp;"","No está en el inventario"))</f>
        <v/>
      </c>
      <c r="E41" s="27"/>
      <c r="F41" s="26"/>
      <c r="G41" s="26"/>
      <c r="H41" s="26"/>
      <c r="I41" s="28"/>
      <c r="J41" s="26"/>
      <c r="K41" s="45"/>
      <c r="L41" s="26"/>
      <c r="M41" s="27"/>
      <c r="N41" s="49" t="str">
        <f t="shared" ca="1" si="1"/>
        <v/>
      </c>
      <c r="O41" s="26"/>
    </row>
    <row r="42" spans="1:15" x14ac:dyDescent="0.25">
      <c r="A42" s="26"/>
      <c r="B42" s="26"/>
      <c r="C42" s="25" t="str">
        <f>IF($B42="","",IFERROR(INDEX('Inventario General'!$B$5:$B$304,MATCH($B42,'Inventario General'!$A$5:$A$304,0))&amp;"","No está en el inventario"))</f>
        <v/>
      </c>
      <c r="D42" s="25" t="str">
        <f>IF($B42="","",IFERROR(INDEX('Inventario General'!$C$5:$C$304,MATCH($B42,'Inventario General'!$A$5:$A$304,0))&amp;"","No está en el inventario"))</f>
        <v/>
      </c>
      <c r="E42" s="27"/>
      <c r="F42" s="26"/>
      <c r="G42" s="26"/>
      <c r="H42" s="26"/>
      <c r="I42" s="28"/>
      <c r="J42" s="26"/>
      <c r="K42" s="45"/>
      <c r="L42" s="26"/>
      <c r="M42" s="27"/>
      <c r="N42" s="49" t="str">
        <f t="shared" ca="1" si="1"/>
        <v/>
      </c>
      <c r="O42" s="26"/>
    </row>
    <row r="43" spans="1:15" x14ac:dyDescent="0.25">
      <c r="A43" s="26"/>
      <c r="B43" s="26"/>
      <c r="C43" s="25" t="str">
        <f>IF($B43="","",IFERROR(INDEX('Inventario General'!$B$5:$B$304,MATCH($B43,'Inventario General'!$A$5:$A$304,0))&amp;"","No está en el inventario"))</f>
        <v/>
      </c>
      <c r="D43" s="25" t="str">
        <f>IF($B43="","",IFERROR(INDEX('Inventario General'!$C$5:$C$304,MATCH($B43,'Inventario General'!$A$5:$A$304,0))&amp;"","No está en el inventario"))</f>
        <v/>
      </c>
      <c r="E43" s="27"/>
      <c r="F43" s="26"/>
      <c r="G43" s="26"/>
      <c r="H43" s="26"/>
      <c r="I43" s="28"/>
      <c r="J43" s="26"/>
      <c r="K43" s="45"/>
      <c r="L43" s="26"/>
      <c r="M43" s="27"/>
      <c r="N43" s="49" t="str">
        <f t="shared" ca="1" si="1"/>
        <v/>
      </c>
      <c r="O43" s="26"/>
    </row>
    <row r="44" spans="1:15" x14ac:dyDescent="0.25">
      <c r="A44" s="26"/>
      <c r="B44" s="26"/>
      <c r="C44" s="25" t="str">
        <f>IF($B44="","",IFERROR(INDEX('Inventario General'!$B$5:$B$304,MATCH($B44,'Inventario General'!$A$5:$A$304,0))&amp;"","No está en el inventario"))</f>
        <v/>
      </c>
      <c r="D44" s="25" t="str">
        <f>IF($B44="","",IFERROR(INDEX('Inventario General'!$C$5:$C$304,MATCH($B44,'Inventario General'!$A$5:$A$304,0))&amp;"","No está en el inventario"))</f>
        <v/>
      </c>
      <c r="E44" s="27"/>
      <c r="F44" s="26"/>
      <c r="G44" s="26"/>
      <c r="H44" s="26"/>
      <c r="I44" s="28"/>
      <c r="J44" s="26"/>
      <c r="K44" s="45"/>
      <c r="L44" s="26"/>
      <c r="M44" s="27"/>
      <c r="N44" s="49" t="str">
        <f t="shared" ca="1" si="1"/>
        <v/>
      </c>
      <c r="O44" s="26"/>
    </row>
    <row r="45" spans="1:15" x14ac:dyDescent="0.25">
      <c r="A45" s="26"/>
      <c r="B45" s="26"/>
      <c r="C45" s="25" t="str">
        <f>IF($B45="","",IFERROR(INDEX('Inventario General'!$B$5:$B$304,MATCH($B45,'Inventario General'!$A$5:$A$304,0))&amp;"","No está en el inventario"))</f>
        <v/>
      </c>
      <c r="D45" s="25" t="str">
        <f>IF($B45="","",IFERROR(INDEX('Inventario General'!$C$5:$C$304,MATCH($B45,'Inventario General'!$A$5:$A$304,0))&amp;"","No está en el inventario"))</f>
        <v/>
      </c>
      <c r="E45" s="27"/>
      <c r="F45" s="26"/>
      <c r="G45" s="26"/>
      <c r="H45" s="26"/>
      <c r="I45" s="28"/>
      <c r="J45" s="26"/>
      <c r="K45" s="45"/>
      <c r="L45" s="26"/>
      <c r="M45" s="27"/>
      <c r="N45" s="49" t="str">
        <f t="shared" ca="1" si="1"/>
        <v/>
      </c>
      <c r="O45" s="26"/>
    </row>
    <row r="46" spans="1:15" x14ac:dyDescent="0.25">
      <c r="A46" s="26"/>
      <c r="B46" s="26"/>
      <c r="C46" s="25" t="str">
        <f>IF($B46="","",IFERROR(INDEX('Inventario General'!$B$5:$B$304,MATCH($B46,'Inventario General'!$A$5:$A$304,0))&amp;"","No está en el inventario"))</f>
        <v/>
      </c>
      <c r="D46" s="25" t="str">
        <f>IF($B46="","",IFERROR(INDEX('Inventario General'!$C$5:$C$304,MATCH($B46,'Inventario General'!$A$5:$A$304,0))&amp;"","No está en el inventario"))</f>
        <v/>
      </c>
      <c r="E46" s="27"/>
      <c r="F46" s="26"/>
      <c r="G46" s="26"/>
      <c r="H46" s="26"/>
      <c r="I46" s="28"/>
      <c r="J46" s="26"/>
      <c r="K46" s="45"/>
      <c r="L46" s="26"/>
      <c r="M46" s="27"/>
      <c r="N46" s="49" t="str">
        <f t="shared" ca="1" si="1"/>
        <v/>
      </c>
      <c r="O46" s="26"/>
    </row>
    <row r="47" spans="1:15" x14ac:dyDescent="0.25">
      <c r="A47" s="26"/>
      <c r="B47" s="26"/>
      <c r="C47" s="25" t="str">
        <f>IF($B47="","",IFERROR(INDEX('Inventario General'!$B$5:$B$304,MATCH($B47,'Inventario General'!$A$5:$A$304,0))&amp;"","No está en el inventario"))</f>
        <v/>
      </c>
      <c r="D47" s="25" t="str">
        <f>IF($B47="","",IFERROR(INDEX('Inventario General'!$C$5:$C$304,MATCH($B47,'Inventario General'!$A$5:$A$304,0))&amp;"","No está en el inventario"))</f>
        <v/>
      </c>
      <c r="E47" s="27"/>
      <c r="F47" s="26"/>
      <c r="G47" s="26"/>
      <c r="H47" s="26"/>
      <c r="I47" s="28"/>
      <c r="J47" s="26"/>
      <c r="K47" s="45"/>
      <c r="L47" s="26"/>
      <c r="M47" s="27"/>
      <c r="N47" s="49" t="str">
        <f t="shared" ca="1" si="1"/>
        <v/>
      </c>
      <c r="O47" s="26"/>
    </row>
    <row r="48" spans="1:15" x14ac:dyDescent="0.25">
      <c r="A48" s="26"/>
      <c r="B48" s="26"/>
      <c r="C48" s="25" t="str">
        <f>IF($B48="","",IFERROR(INDEX('Inventario General'!$B$5:$B$304,MATCH($B48,'Inventario General'!$A$5:$A$304,0))&amp;"","No está en el inventario"))</f>
        <v/>
      </c>
      <c r="D48" s="25" t="str">
        <f>IF($B48="","",IFERROR(INDEX('Inventario General'!$C$5:$C$304,MATCH($B48,'Inventario General'!$A$5:$A$304,0))&amp;"","No está en el inventario"))</f>
        <v/>
      </c>
      <c r="E48" s="27"/>
      <c r="F48" s="26"/>
      <c r="G48" s="26"/>
      <c r="H48" s="26"/>
      <c r="I48" s="28"/>
      <c r="J48" s="26"/>
      <c r="K48" s="45"/>
      <c r="L48" s="26"/>
      <c r="M48" s="27"/>
      <c r="N48" s="49" t="str">
        <f t="shared" ca="1" si="1"/>
        <v/>
      </c>
      <c r="O48" s="26"/>
    </row>
    <row r="49" spans="1:15" x14ac:dyDescent="0.25">
      <c r="A49" s="26"/>
      <c r="B49" s="26"/>
      <c r="C49" s="25" t="str">
        <f>IF($B49="","",IFERROR(INDEX('Inventario General'!$B$5:$B$304,MATCH($B49,'Inventario General'!$A$5:$A$304,0))&amp;"","No está en el inventario"))</f>
        <v/>
      </c>
      <c r="D49" s="25" t="str">
        <f>IF($B49="","",IFERROR(INDEX('Inventario General'!$C$5:$C$304,MATCH($B49,'Inventario General'!$A$5:$A$304,0))&amp;"","No está en el inventario"))</f>
        <v/>
      </c>
      <c r="E49" s="27"/>
      <c r="F49" s="26"/>
      <c r="G49" s="26"/>
      <c r="H49" s="26"/>
      <c r="I49" s="28"/>
      <c r="J49" s="26"/>
      <c r="K49" s="45"/>
      <c r="L49" s="26"/>
      <c r="M49" s="27"/>
      <c r="N49" s="49" t="str">
        <f t="shared" ca="1" si="1"/>
        <v/>
      </c>
      <c r="O49" s="26"/>
    </row>
    <row r="50" spans="1:15" x14ac:dyDescent="0.25">
      <c r="A50" s="26"/>
      <c r="B50" s="26"/>
      <c r="C50" s="25" t="str">
        <f>IF($B50="","",IFERROR(INDEX('Inventario General'!$B$5:$B$304,MATCH($B50,'Inventario General'!$A$5:$A$304,0))&amp;"","No está en el inventario"))</f>
        <v/>
      </c>
      <c r="D50" s="25" t="str">
        <f>IF($B50="","",IFERROR(INDEX('Inventario General'!$C$5:$C$304,MATCH($B50,'Inventario General'!$A$5:$A$304,0))&amp;"","No está en el inventario"))</f>
        <v/>
      </c>
      <c r="E50" s="27"/>
      <c r="F50" s="26"/>
      <c r="G50" s="26"/>
      <c r="H50" s="26"/>
      <c r="I50" s="28"/>
      <c r="J50" s="26"/>
      <c r="K50" s="45"/>
      <c r="L50" s="26"/>
      <c r="M50" s="27"/>
      <c r="N50" s="49" t="str">
        <f t="shared" ca="1" si="1"/>
        <v/>
      </c>
      <c r="O50" s="26"/>
    </row>
    <row r="51" spans="1:15" x14ac:dyDescent="0.25">
      <c r="A51" s="26"/>
      <c r="B51" s="26"/>
      <c r="C51" s="25" t="str">
        <f>IF($B51="","",IFERROR(INDEX('Inventario General'!$B$5:$B$304,MATCH($B51,'Inventario General'!$A$5:$A$304,0))&amp;"","No está en el inventario"))</f>
        <v/>
      </c>
      <c r="D51" s="25" t="str">
        <f>IF($B51="","",IFERROR(INDEX('Inventario General'!$C$5:$C$304,MATCH($B51,'Inventario General'!$A$5:$A$304,0))&amp;"","No está en el inventario"))</f>
        <v/>
      </c>
      <c r="E51" s="27"/>
      <c r="F51" s="26"/>
      <c r="G51" s="26"/>
      <c r="H51" s="26"/>
      <c r="I51" s="28"/>
      <c r="J51" s="26"/>
      <c r="K51" s="45"/>
      <c r="L51" s="26"/>
      <c r="M51" s="27"/>
      <c r="N51" s="49" t="str">
        <f t="shared" ca="1" si="1"/>
        <v/>
      </c>
      <c r="O51" s="26"/>
    </row>
    <row r="52" spans="1:15" x14ac:dyDescent="0.25">
      <c r="A52" s="26"/>
      <c r="B52" s="26"/>
      <c r="C52" s="25" t="str">
        <f>IF($B52="","",IFERROR(INDEX('Inventario General'!$B$5:$B$304,MATCH($B52,'Inventario General'!$A$5:$A$304,0))&amp;"","No está en el inventario"))</f>
        <v/>
      </c>
      <c r="D52" s="25" t="str">
        <f>IF($B52="","",IFERROR(INDEX('Inventario General'!$C$5:$C$304,MATCH($B52,'Inventario General'!$A$5:$A$304,0))&amp;"","No está en el inventario"))</f>
        <v/>
      </c>
      <c r="E52" s="27"/>
      <c r="F52" s="26"/>
      <c r="G52" s="26"/>
      <c r="H52" s="26"/>
      <c r="I52" s="28"/>
      <c r="J52" s="26"/>
      <c r="K52" s="45"/>
      <c r="L52" s="26"/>
      <c r="M52" s="27"/>
      <c r="N52" s="49" t="str">
        <f t="shared" ca="1" si="1"/>
        <v/>
      </c>
      <c r="O52" s="26"/>
    </row>
    <row r="53" spans="1:15" x14ac:dyDescent="0.25">
      <c r="A53" s="26"/>
      <c r="B53" s="26"/>
      <c r="C53" s="25" t="str">
        <f>IF($B53="","",IFERROR(INDEX('Inventario General'!$B$5:$B$304,MATCH($B53,'Inventario General'!$A$5:$A$304,0))&amp;"","No está en el inventario"))</f>
        <v/>
      </c>
      <c r="D53" s="25" t="str">
        <f>IF($B53="","",IFERROR(INDEX('Inventario General'!$C$5:$C$304,MATCH($B53,'Inventario General'!$A$5:$A$304,0))&amp;"","No está en el inventario"))</f>
        <v/>
      </c>
      <c r="E53" s="27"/>
      <c r="F53" s="26"/>
      <c r="G53" s="26"/>
      <c r="H53" s="26"/>
      <c r="I53" s="28"/>
      <c r="J53" s="26"/>
      <c r="K53" s="45"/>
      <c r="L53" s="26"/>
      <c r="M53" s="27"/>
      <c r="N53" s="49" t="str">
        <f t="shared" ca="1" si="1"/>
        <v/>
      </c>
      <c r="O53" s="26"/>
    </row>
    <row r="54" spans="1:15" x14ac:dyDescent="0.25">
      <c r="A54" s="26"/>
      <c r="B54" s="26"/>
      <c r="C54" s="25" t="str">
        <f>IF($B54="","",IFERROR(INDEX('Inventario General'!$B$5:$B$304,MATCH($B54,'Inventario General'!$A$5:$A$304,0))&amp;"","No está en el inventario"))</f>
        <v/>
      </c>
      <c r="D54" s="25" t="str">
        <f>IF($B54="","",IFERROR(INDEX('Inventario General'!$C$5:$C$304,MATCH($B54,'Inventario General'!$A$5:$A$304,0))&amp;"","No está en el inventario"))</f>
        <v/>
      </c>
      <c r="E54" s="27"/>
      <c r="F54" s="26"/>
      <c r="G54" s="26"/>
      <c r="H54" s="26"/>
      <c r="I54" s="28"/>
      <c r="J54" s="26"/>
      <c r="K54" s="45"/>
      <c r="L54" s="26"/>
      <c r="M54" s="27"/>
      <c r="N54" s="49" t="str">
        <f t="shared" ca="1" si="1"/>
        <v/>
      </c>
      <c r="O54" s="26"/>
    </row>
    <row r="55" spans="1:15" x14ac:dyDescent="0.25">
      <c r="A55" s="26"/>
      <c r="B55" s="26"/>
      <c r="C55" s="25" t="str">
        <f>IF($B55="","",IFERROR(INDEX('Inventario General'!$B$5:$B$304,MATCH($B55,'Inventario General'!$A$5:$A$304,0))&amp;"","No está en el inventario"))</f>
        <v/>
      </c>
      <c r="D55" s="25" t="str">
        <f>IF($B55="","",IFERROR(INDEX('Inventario General'!$C$5:$C$304,MATCH($B55,'Inventario General'!$A$5:$A$304,0))&amp;"","No está en el inventario"))</f>
        <v/>
      </c>
      <c r="E55" s="27"/>
      <c r="F55" s="26"/>
      <c r="G55" s="26"/>
      <c r="H55" s="26"/>
      <c r="I55" s="28"/>
      <c r="J55" s="26"/>
      <c r="K55" s="45"/>
      <c r="L55" s="26"/>
      <c r="M55" s="27"/>
      <c r="N55" s="49" t="str">
        <f t="shared" ca="1" si="1"/>
        <v/>
      </c>
      <c r="O55" s="26"/>
    </row>
    <row r="56" spans="1:15" x14ac:dyDescent="0.25">
      <c r="A56" s="26"/>
      <c r="B56" s="26"/>
      <c r="C56" s="25" t="str">
        <f>IF($B56="","",IFERROR(INDEX('Inventario General'!$B$5:$B$304,MATCH($B56,'Inventario General'!$A$5:$A$304,0))&amp;"","No está en el inventario"))</f>
        <v/>
      </c>
      <c r="D56" s="25" t="str">
        <f>IF($B56="","",IFERROR(INDEX('Inventario General'!$C$5:$C$304,MATCH($B56,'Inventario General'!$A$5:$A$304,0))&amp;"","No está en el inventario"))</f>
        <v/>
      </c>
      <c r="E56" s="27"/>
      <c r="F56" s="26"/>
      <c r="G56" s="26"/>
      <c r="H56" s="26"/>
      <c r="I56" s="28"/>
      <c r="J56" s="26"/>
      <c r="K56" s="45"/>
      <c r="L56" s="26"/>
      <c r="M56" s="27"/>
      <c r="N56" s="49" t="str">
        <f t="shared" ca="1" si="1"/>
        <v/>
      </c>
      <c r="O56" s="26"/>
    </row>
    <row r="57" spans="1:15" x14ac:dyDescent="0.25">
      <c r="A57" s="26"/>
      <c r="B57" s="26"/>
      <c r="C57" s="25" t="str">
        <f>IF($B57="","",IFERROR(INDEX('Inventario General'!$B$5:$B$304,MATCH($B57,'Inventario General'!$A$5:$A$304,0))&amp;"","No está en el inventario"))</f>
        <v/>
      </c>
      <c r="D57" s="25" t="str">
        <f>IF($B57="","",IFERROR(INDEX('Inventario General'!$C$5:$C$304,MATCH($B57,'Inventario General'!$A$5:$A$304,0))&amp;"","No está en el inventario"))</f>
        <v/>
      </c>
      <c r="E57" s="27"/>
      <c r="F57" s="26"/>
      <c r="G57" s="26"/>
      <c r="H57" s="26"/>
      <c r="I57" s="28"/>
      <c r="J57" s="26"/>
      <c r="K57" s="45"/>
      <c r="L57" s="26"/>
      <c r="M57" s="27"/>
      <c r="N57" s="49" t="str">
        <f t="shared" ca="1" si="1"/>
        <v/>
      </c>
      <c r="O57" s="26"/>
    </row>
    <row r="58" spans="1:15" x14ac:dyDescent="0.25">
      <c r="A58" s="26"/>
      <c r="B58" s="26"/>
      <c r="C58" s="25" t="str">
        <f>IF($B58="","",IFERROR(INDEX('Inventario General'!$B$5:$B$304,MATCH($B58,'Inventario General'!$A$5:$A$304,0))&amp;"","No está en el inventario"))</f>
        <v/>
      </c>
      <c r="D58" s="25" t="str">
        <f>IF($B58="","",IFERROR(INDEX('Inventario General'!$C$5:$C$304,MATCH($B58,'Inventario General'!$A$5:$A$304,0))&amp;"","No está en el inventario"))</f>
        <v/>
      </c>
      <c r="E58" s="27"/>
      <c r="F58" s="26"/>
      <c r="G58" s="26"/>
      <c r="H58" s="26"/>
      <c r="I58" s="28"/>
      <c r="J58" s="26"/>
      <c r="K58" s="45"/>
      <c r="L58" s="26"/>
      <c r="M58" s="27"/>
      <c r="N58" s="49" t="str">
        <f t="shared" ca="1" si="1"/>
        <v/>
      </c>
      <c r="O58" s="26"/>
    </row>
    <row r="59" spans="1:15" x14ac:dyDescent="0.25">
      <c r="A59" s="26"/>
      <c r="B59" s="26"/>
      <c r="C59" s="25" t="str">
        <f>IF($B59="","",IFERROR(INDEX('Inventario General'!$B$5:$B$304,MATCH($B59,'Inventario General'!$A$5:$A$304,0))&amp;"","No está en el inventario"))</f>
        <v/>
      </c>
      <c r="D59" s="25" t="str">
        <f>IF($B59="","",IFERROR(INDEX('Inventario General'!$C$5:$C$304,MATCH($B59,'Inventario General'!$A$5:$A$304,0))&amp;"","No está en el inventario"))</f>
        <v/>
      </c>
      <c r="E59" s="27"/>
      <c r="F59" s="26"/>
      <c r="G59" s="26"/>
      <c r="H59" s="26"/>
      <c r="I59" s="28"/>
      <c r="J59" s="26"/>
      <c r="K59" s="45"/>
      <c r="L59" s="26"/>
      <c r="M59" s="27"/>
      <c r="N59" s="49" t="str">
        <f t="shared" ca="1" si="1"/>
        <v/>
      </c>
      <c r="O59" s="26"/>
    </row>
    <row r="60" spans="1:15" x14ac:dyDescent="0.25">
      <c r="A60" s="26"/>
      <c r="B60" s="26"/>
      <c r="C60" s="25" t="str">
        <f>IF($B60="","",IFERROR(INDEX('Inventario General'!$B$5:$B$304,MATCH($B60,'Inventario General'!$A$5:$A$304,0))&amp;"","No está en el inventario"))</f>
        <v/>
      </c>
      <c r="D60" s="25" t="str">
        <f>IF($B60="","",IFERROR(INDEX('Inventario General'!$C$5:$C$304,MATCH($B60,'Inventario General'!$A$5:$A$304,0))&amp;"","No está en el inventario"))</f>
        <v/>
      </c>
      <c r="E60" s="27"/>
      <c r="F60" s="26"/>
      <c r="G60" s="26"/>
      <c r="H60" s="26"/>
      <c r="I60" s="28"/>
      <c r="J60" s="26"/>
      <c r="K60" s="45"/>
      <c r="L60" s="26"/>
      <c r="M60" s="27"/>
      <c r="N60" s="49" t="str">
        <f t="shared" ca="1" si="1"/>
        <v/>
      </c>
      <c r="O60" s="26"/>
    </row>
    <row r="61" spans="1:15" x14ac:dyDescent="0.25">
      <c r="A61" s="26"/>
      <c r="B61" s="26"/>
      <c r="C61" s="25" t="str">
        <f>IF($B61="","",IFERROR(INDEX('Inventario General'!$B$5:$B$304,MATCH($B61,'Inventario General'!$A$5:$A$304,0))&amp;"","No está en el inventario"))</f>
        <v/>
      </c>
      <c r="D61" s="25" t="str">
        <f>IF($B61="","",IFERROR(INDEX('Inventario General'!$C$5:$C$304,MATCH($B61,'Inventario General'!$A$5:$A$304,0))&amp;"","No está en el inventario"))</f>
        <v/>
      </c>
      <c r="E61" s="27"/>
      <c r="F61" s="26"/>
      <c r="G61" s="26"/>
      <c r="H61" s="26"/>
      <c r="I61" s="28"/>
      <c r="J61" s="26"/>
      <c r="K61" s="45"/>
      <c r="L61" s="26"/>
      <c r="M61" s="27"/>
      <c r="N61" s="49" t="str">
        <f t="shared" ca="1" si="1"/>
        <v/>
      </c>
      <c r="O61" s="26"/>
    </row>
    <row r="62" spans="1:15" x14ac:dyDescent="0.25">
      <c r="A62" s="26"/>
      <c r="B62" s="26"/>
      <c r="C62" s="25" t="str">
        <f>IF($B62="","",IFERROR(INDEX('Inventario General'!$B$5:$B$304,MATCH($B62,'Inventario General'!$A$5:$A$304,0))&amp;"","No está en el inventario"))</f>
        <v/>
      </c>
      <c r="D62" s="25" t="str">
        <f>IF($B62="","",IFERROR(INDEX('Inventario General'!$C$5:$C$304,MATCH($B62,'Inventario General'!$A$5:$A$304,0))&amp;"","No está en el inventario"))</f>
        <v/>
      </c>
      <c r="E62" s="27"/>
      <c r="F62" s="26"/>
      <c r="G62" s="26"/>
      <c r="H62" s="26"/>
      <c r="I62" s="28"/>
      <c r="J62" s="26"/>
      <c r="K62" s="45"/>
      <c r="L62" s="26"/>
      <c r="M62" s="27"/>
      <c r="N62" s="49" t="str">
        <f t="shared" ca="1" si="1"/>
        <v/>
      </c>
      <c r="O62" s="26"/>
    </row>
    <row r="63" spans="1:15" x14ac:dyDescent="0.25">
      <c r="A63" s="26"/>
      <c r="B63" s="26"/>
      <c r="C63" s="25" t="str">
        <f>IF($B63="","",IFERROR(INDEX('Inventario General'!$B$5:$B$304,MATCH($B63,'Inventario General'!$A$5:$A$304,0))&amp;"","No está en el inventario"))</f>
        <v/>
      </c>
      <c r="D63" s="25" t="str">
        <f>IF($B63="","",IFERROR(INDEX('Inventario General'!$C$5:$C$304,MATCH($B63,'Inventario General'!$A$5:$A$304,0))&amp;"","No está en el inventario"))</f>
        <v/>
      </c>
      <c r="E63" s="27"/>
      <c r="F63" s="26"/>
      <c r="G63" s="26"/>
      <c r="H63" s="26"/>
      <c r="I63" s="28"/>
      <c r="J63" s="26"/>
      <c r="K63" s="45"/>
      <c r="L63" s="26"/>
      <c r="M63" s="27"/>
      <c r="N63" s="49" t="str">
        <f t="shared" ca="1" si="1"/>
        <v/>
      </c>
      <c r="O63" s="26"/>
    </row>
    <row r="64" spans="1:15" x14ac:dyDescent="0.25">
      <c r="A64" s="26"/>
      <c r="B64" s="26"/>
      <c r="C64" s="25" t="str">
        <f>IF($B64="","",IFERROR(INDEX('Inventario General'!$B$5:$B$304,MATCH($B64,'Inventario General'!$A$5:$A$304,0))&amp;"","No está en el inventario"))</f>
        <v/>
      </c>
      <c r="D64" s="25" t="str">
        <f>IF($B64="","",IFERROR(INDEX('Inventario General'!$C$5:$C$304,MATCH($B64,'Inventario General'!$A$5:$A$304,0))&amp;"","No está en el inventario"))</f>
        <v/>
      </c>
      <c r="E64" s="27"/>
      <c r="F64" s="26"/>
      <c r="G64" s="26"/>
      <c r="H64" s="26"/>
      <c r="I64" s="28"/>
      <c r="J64" s="26"/>
      <c r="K64" s="45"/>
      <c r="L64" s="26"/>
      <c r="M64" s="27"/>
      <c r="N64" s="49" t="str">
        <f t="shared" ca="1" si="1"/>
        <v/>
      </c>
      <c r="O64" s="26"/>
    </row>
    <row r="65" spans="1:15" x14ac:dyDescent="0.25">
      <c r="A65" s="26"/>
      <c r="B65" s="26"/>
      <c r="C65" s="25" t="str">
        <f>IF($B65="","",IFERROR(INDEX('Inventario General'!$B$5:$B$304,MATCH($B65,'Inventario General'!$A$5:$A$304,0))&amp;"","No está en el inventario"))</f>
        <v/>
      </c>
      <c r="D65" s="25" t="str">
        <f>IF($B65="","",IFERROR(INDEX('Inventario General'!$C$5:$C$304,MATCH($B65,'Inventario General'!$A$5:$A$304,0))&amp;"","No está en el inventario"))</f>
        <v/>
      </c>
      <c r="E65" s="27"/>
      <c r="F65" s="26"/>
      <c r="G65" s="26"/>
      <c r="H65" s="26"/>
      <c r="I65" s="28"/>
      <c r="J65" s="26"/>
      <c r="K65" s="45"/>
      <c r="L65" s="26"/>
      <c r="M65" s="27"/>
      <c r="N65" s="49" t="str">
        <f t="shared" ca="1" si="1"/>
        <v/>
      </c>
      <c r="O65" s="26"/>
    </row>
    <row r="66" spans="1:15" x14ac:dyDescent="0.25">
      <c r="A66" s="26"/>
      <c r="B66" s="26"/>
      <c r="C66" s="25" t="str">
        <f>IF($B66="","",IFERROR(INDEX('Inventario General'!$B$5:$B$304,MATCH($B66,'Inventario General'!$A$5:$A$304,0))&amp;"","No está en el inventario"))</f>
        <v/>
      </c>
      <c r="D66" s="25" t="str">
        <f>IF($B66="","",IFERROR(INDEX('Inventario General'!$C$5:$C$304,MATCH($B66,'Inventario General'!$A$5:$A$304,0))&amp;"","No está en el inventario"))</f>
        <v/>
      </c>
      <c r="E66" s="27"/>
      <c r="F66" s="26"/>
      <c r="G66" s="26"/>
      <c r="H66" s="26"/>
      <c r="I66" s="28"/>
      <c r="J66" s="26"/>
      <c r="K66" s="45"/>
      <c r="L66" s="26"/>
      <c r="M66" s="27"/>
      <c r="N66" s="49" t="str">
        <f t="shared" ca="1" si="1"/>
        <v/>
      </c>
      <c r="O66" s="26"/>
    </row>
    <row r="67" spans="1:15" x14ac:dyDescent="0.25">
      <c r="A67" s="26"/>
      <c r="B67" s="26"/>
      <c r="C67" s="25" t="str">
        <f>IF($B67="","",IFERROR(INDEX('Inventario General'!$B$5:$B$304,MATCH($B67,'Inventario General'!$A$5:$A$304,0))&amp;"","No está en el inventario"))</f>
        <v/>
      </c>
      <c r="D67" s="25" t="str">
        <f>IF($B67="","",IFERROR(INDEX('Inventario General'!$C$5:$C$304,MATCH($B67,'Inventario General'!$A$5:$A$304,0))&amp;"","No está en el inventario"))</f>
        <v/>
      </c>
      <c r="E67" s="27"/>
      <c r="F67" s="26"/>
      <c r="G67" s="26"/>
      <c r="H67" s="26"/>
      <c r="I67" s="28"/>
      <c r="J67" s="26"/>
      <c r="K67" s="45"/>
      <c r="L67" s="26"/>
      <c r="M67" s="27"/>
      <c r="N67" s="49" t="str">
        <f t="shared" ca="1" si="1"/>
        <v/>
      </c>
      <c r="O67" s="26"/>
    </row>
    <row r="68" spans="1:15" x14ac:dyDescent="0.25">
      <c r="A68" s="26"/>
      <c r="B68" s="26"/>
      <c r="C68" s="25" t="str">
        <f>IF($B68="","",IFERROR(INDEX('Inventario General'!$B$5:$B$304,MATCH($B68,'Inventario General'!$A$5:$A$304,0))&amp;"","No está en el inventario"))</f>
        <v/>
      </c>
      <c r="D68" s="25" t="str">
        <f>IF($B68="","",IFERROR(INDEX('Inventario General'!$C$5:$C$304,MATCH($B68,'Inventario General'!$A$5:$A$304,0))&amp;"","No está en el inventario"))</f>
        <v/>
      </c>
      <c r="E68" s="27"/>
      <c r="F68" s="26"/>
      <c r="G68" s="26"/>
      <c r="H68" s="26"/>
      <c r="I68" s="28"/>
      <c r="J68" s="26"/>
      <c r="K68" s="45"/>
      <c r="L68" s="26"/>
      <c r="M68" s="27"/>
      <c r="N68" s="49" t="str">
        <f t="shared" ca="1" si="1"/>
        <v/>
      </c>
      <c r="O68" s="26"/>
    </row>
    <row r="69" spans="1:15" x14ac:dyDescent="0.25">
      <c r="A69" s="26"/>
      <c r="B69" s="26"/>
      <c r="C69" s="25" t="str">
        <f>IF($B69="","",IFERROR(INDEX('Inventario General'!$B$5:$B$304,MATCH($B69,'Inventario General'!$A$5:$A$304,0))&amp;"","No está en el inventario"))</f>
        <v/>
      </c>
      <c r="D69" s="25" t="str">
        <f>IF($B69="","",IFERROR(INDEX('Inventario General'!$C$5:$C$304,MATCH($B69,'Inventario General'!$A$5:$A$304,0))&amp;"","No está en el inventario"))</f>
        <v/>
      </c>
      <c r="E69" s="27"/>
      <c r="F69" s="26"/>
      <c r="G69" s="26"/>
      <c r="H69" s="26"/>
      <c r="I69" s="28"/>
      <c r="J69" s="26"/>
      <c r="K69" s="45"/>
      <c r="L69" s="26"/>
      <c r="M69" s="27"/>
      <c r="N69" s="49" t="str">
        <f t="shared" ref="N69:N100" ca="1" si="2">IF(M69="","",M69-TODAY())</f>
        <v/>
      </c>
      <c r="O69" s="26"/>
    </row>
    <row r="70" spans="1:15" x14ac:dyDescent="0.25">
      <c r="A70" s="26"/>
      <c r="B70" s="26"/>
      <c r="C70" s="25" t="str">
        <f>IF($B70="","",IFERROR(INDEX('Inventario General'!$B$5:$B$304,MATCH($B70,'Inventario General'!$A$5:$A$304,0))&amp;"","No está en el inventario"))</f>
        <v/>
      </c>
      <c r="D70" s="25" t="str">
        <f>IF($B70="","",IFERROR(INDEX('Inventario General'!$C$5:$C$304,MATCH($B70,'Inventario General'!$A$5:$A$304,0))&amp;"","No está en el inventario"))</f>
        <v/>
      </c>
      <c r="E70" s="27"/>
      <c r="F70" s="26"/>
      <c r="G70" s="26"/>
      <c r="H70" s="26"/>
      <c r="I70" s="28"/>
      <c r="J70" s="26"/>
      <c r="K70" s="45"/>
      <c r="L70" s="26"/>
      <c r="M70" s="27"/>
      <c r="N70" s="49" t="str">
        <f t="shared" ca="1" si="2"/>
        <v/>
      </c>
      <c r="O70" s="26"/>
    </row>
    <row r="71" spans="1:15" x14ac:dyDescent="0.25">
      <c r="A71" s="26"/>
      <c r="B71" s="26"/>
      <c r="C71" s="25" t="str">
        <f>IF($B71="","",IFERROR(INDEX('Inventario General'!$B$5:$B$304,MATCH($B71,'Inventario General'!$A$5:$A$304,0))&amp;"","No está en el inventario"))</f>
        <v/>
      </c>
      <c r="D71" s="25" t="str">
        <f>IF($B71="","",IFERROR(INDEX('Inventario General'!$C$5:$C$304,MATCH($B71,'Inventario General'!$A$5:$A$304,0))&amp;"","No está en el inventario"))</f>
        <v/>
      </c>
      <c r="E71" s="27"/>
      <c r="F71" s="26"/>
      <c r="G71" s="26"/>
      <c r="H71" s="26"/>
      <c r="I71" s="28"/>
      <c r="J71" s="26"/>
      <c r="K71" s="45"/>
      <c r="L71" s="26"/>
      <c r="M71" s="27"/>
      <c r="N71" s="49" t="str">
        <f t="shared" ca="1" si="2"/>
        <v/>
      </c>
      <c r="O71" s="26"/>
    </row>
    <row r="72" spans="1:15" x14ac:dyDescent="0.25">
      <c r="A72" s="26"/>
      <c r="B72" s="26"/>
      <c r="C72" s="25" t="str">
        <f>IF($B72="","",IFERROR(INDEX('Inventario General'!$B$5:$B$304,MATCH($B72,'Inventario General'!$A$5:$A$304,0))&amp;"","No está en el inventario"))</f>
        <v/>
      </c>
      <c r="D72" s="25" t="str">
        <f>IF($B72="","",IFERROR(INDEX('Inventario General'!$C$5:$C$304,MATCH($B72,'Inventario General'!$A$5:$A$304,0))&amp;"","No está en el inventario"))</f>
        <v/>
      </c>
      <c r="E72" s="27"/>
      <c r="F72" s="26"/>
      <c r="G72" s="26"/>
      <c r="H72" s="26"/>
      <c r="I72" s="28"/>
      <c r="J72" s="26"/>
      <c r="K72" s="45"/>
      <c r="L72" s="26"/>
      <c r="M72" s="27"/>
      <c r="N72" s="49" t="str">
        <f t="shared" ca="1" si="2"/>
        <v/>
      </c>
      <c r="O72" s="26"/>
    </row>
    <row r="73" spans="1:15" x14ac:dyDescent="0.25">
      <c r="A73" s="26"/>
      <c r="B73" s="26"/>
      <c r="C73" s="25" t="str">
        <f>IF($B73="","",IFERROR(INDEX('Inventario General'!$B$5:$B$304,MATCH($B73,'Inventario General'!$A$5:$A$304,0))&amp;"","No está en el inventario"))</f>
        <v/>
      </c>
      <c r="D73" s="25" t="str">
        <f>IF($B73="","",IFERROR(INDEX('Inventario General'!$C$5:$C$304,MATCH($B73,'Inventario General'!$A$5:$A$304,0))&amp;"","No está en el inventario"))</f>
        <v/>
      </c>
      <c r="E73" s="27"/>
      <c r="F73" s="26"/>
      <c r="G73" s="26"/>
      <c r="H73" s="26"/>
      <c r="I73" s="28"/>
      <c r="J73" s="26"/>
      <c r="K73" s="45"/>
      <c r="L73" s="26"/>
      <c r="M73" s="27"/>
      <c r="N73" s="49" t="str">
        <f t="shared" ca="1" si="2"/>
        <v/>
      </c>
      <c r="O73" s="26"/>
    </row>
    <row r="74" spans="1:15" x14ac:dyDescent="0.25">
      <c r="A74" s="26"/>
      <c r="B74" s="26"/>
      <c r="C74" s="25" t="str">
        <f>IF($B74="","",IFERROR(INDEX('Inventario General'!$B$5:$B$304,MATCH($B74,'Inventario General'!$A$5:$A$304,0))&amp;"","No está en el inventario"))</f>
        <v/>
      </c>
      <c r="D74" s="25" t="str">
        <f>IF($B74="","",IFERROR(INDEX('Inventario General'!$C$5:$C$304,MATCH($B74,'Inventario General'!$A$5:$A$304,0))&amp;"","No está en el inventario"))</f>
        <v/>
      </c>
      <c r="E74" s="27"/>
      <c r="F74" s="26"/>
      <c r="G74" s="26"/>
      <c r="H74" s="26"/>
      <c r="I74" s="28"/>
      <c r="J74" s="26"/>
      <c r="K74" s="45"/>
      <c r="L74" s="26"/>
      <c r="M74" s="27"/>
      <c r="N74" s="49" t="str">
        <f t="shared" ca="1" si="2"/>
        <v/>
      </c>
      <c r="O74" s="26"/>
    </row>
    <row r="75" spans="1:15" x14ac:dyDescent="0.25">
      <c r="A75" s="26"/>
      <c r="B75" s="26"/>
      <c r="C75" s="25" t="str">
        <f>IF($B75="","",IFERROR(INDEX('Inventario General'!$B$5:$B$304,MATCH($B75,'Inventario General'!$A$5:$A$304,0))&amp;"","No está en el inventario"))</f>
        <v/>
      </c>
      <c r="D75" s="25" t="str">
        <f>IF($B75="","",IFERROR(INDEX('Inventario General'!$C$5:$C$304,MATCH($B75,'Inventario General'!$A$5:$A$304,0))&amp;"","No está en el inventario"))</f>
        <v/>
      </c>
      <c r="E75" s="27"/>
      <c r="F75" s="26"/>
      <c r="G75" s="26"/>
      <c r="H75" s="26"/>
      <c r="I75" s="28"/>
      <c r="J75" s="26"/>
      <c r="K75" s="45"/>
      <c r="L75" s="26"/>
      <c r="M75" s="27"/>
      <c r="N75" s="49" t="str">
        <f t="shared" ca="1" si="2"/>
        <v/>
      </c>
      <c r="O75" s="26"/>
    </row>
    <row r="76" spans="1:15" x14ac:dyDescent="0.25">
      <c r="A76" s="26"/>
      <c r="B76" s="26"/>
      <c r="C76" s="25" t="str">
        <f>IF($B76="","",IFERROR(INDEX('Inventario General'!$B$5:$B$304,MATCH($B76,'Inventario General'!$A$5:$A$304,0))&amp;"","No está en el inventario"))</f>
        <v/>
      </c>
      <c r="D76" s="25" t="str">
        <f>IF($B76="","",IFERROR(INDEX('Inventario General'!$C$5:$C$304,MATCH($B76,'Inventario General'!$A$5:$A$304,0))&amp;"","No está en el inventario"))</f>
        <v/>
      </c>
      <c r="E76" s="27"/>
      <c r="F76" s="26"/>
      <c r="G76" s="26"/>
      <c r="H76" s="26"/>
      <c r="I76" s="28"/>
      <c r="J76" s="26"/>
      <c r="K76" s="45"/>
      <c r="L76" s="26"/>
      <c r="M76" s="27"/>
      <c r="N76" s="49" t="str">
        <f t="shared" ca="1" si="2"/>
        <v/>
      </c>
      <c r="O76" s="26"/>
    </row>
    <row r="77" spans="1:15" x14ac:dyDescent="0.25">
      <c r="A77" s="26"/>
      <c r="B77" s="26"/>
      <c r="C77" s="25" t="str">
        <f>IF($B77="","",IFERROR(INDEX('Inventario General'!$B$5:$B$304,MATCH($B77,'Inventario General'!$A$5:$A$304,0))&amp;"","No está en el inventario"))</f>
        <v/>
      </c>
      <c r="D77" s="25" t="str">
        <f>IF($B77="","",IFERROR(INDEX('Inventario General'!$C$5:$C$304,MATCH($B77,'Inventario General'!$A$5:$A$304,0))&amp;"","No está en el inventario"))</f>
        <v/>
      </c>
      <c r="E77" s="27"/>
      <c r="F77" s="26"/>
      <c r="G77" s="26"/>
      <c r="H77" s="26"/>
      <c r="I77" s="28"/>
      <c r="J77" s="26"/>
      <c r="K77" s="45"/>
      <c r="L77" s="26"/>
      <c r="M77" s="27"/>
      <c r="N77" s="49" t="str">
        <f t="shared" ca="1" si="2"/>
        <v/>
      </c>
      <c r="O77" s="26"/>
    </row>
    <row r="78" spans="1:15" x14ac:dyDescent="0.25">
      <c r="A78" s="26"/>
      <c r="B78" s="26"/>
      <c r="C78" s="25" t="str">
        <f>IF($B78="","",IFERROR(INDEX('Inventario General'!$B$5:$B$304,MATCH($B78,'Inventario General'!$A$5:$A$304,0))&amp;"","No está en el inventario"))</f>
        <v/>
      </c>
      <c r="D78" s="25" t="str">
        <f>IF($B78="","",IFERROR(INDEX('Inventario General'!$C$5:$C$304,MATCH($B78,'Inventario General'!$A$5:$A$304,0))&amp;"","No está en el inventario"))</f>
        <v/>
      </c>
      <c r="E78" s="27"/>
      <c r="F78" s="26"/>
      <c r="G78" s="26"/>
      <c r="H78" s="26"/>
      <c r="I78" s="28"/>
      <c r="J78" s="26"/>
      <c r="K78" s="45"/>
      <c r="L78" s="26"/>
      <c r="M78" s="27"/>
      <c r="N78" s="49" t="str">
        <f t="shared" ca="1" si="2"/>
        <v/>
      </c>
      <c r="O78" s="26"/>
    </row>
    <row r="79" spans="1:15" x14ac:dyDescent="0.25">
      <c r="A79" s="26"/>
      <c r="B79" s="26"/>
      <c r="C79" s="25" t="str">
        <f>IF($B79="","",IFERROR(INDEX('Inventario General'!$B$5:$B$304,MATCH($B79,'Inventario General'!$A$5:$A$304,0))&amp;"","No está en el inventario"))</f>
        <v/>
      </c>
      <c r="D79" s="25" t="str">
        <f>IF($B79="","",IFERROR(INDEX('Inventario General'!$C$5:$C$304,MATCH($B79,'Inventario General'!$A$5:$A$304,0))&amp;"","No está en el inventario"))</f>
        <v/>
      </c>
      <c r="E79" s="27"/>
      <c r="F79" s="26"/>
      <c r="G79" s="26"/>
      <c r="H79" s="26"/>
      <c r="I79" s="28"/>
      <c r="J79" s="26"/>
      <c r="K79" s="45"/>
      <c r="L79" s="26"/>
      <c r="M79" s="27"/>
      <c r="N79" s="49" t="str">
        <f t="shared" ca="1" si="2"/>
        <v/>
      </c>
      <c r="O79" s="26"/>
    </row>
    <row r="80" spans="1:15" x14ac:dyDescent="0.25">
      <c r="A80" s="26"/>
      <c r="B80" s="26"/>
      <c r="C80" s="25" t="str">
        <f>IF($B80="","",IFERROR(INDEX('Inventario General'!$B$5:$B$304,MATCH($B80,'Inventario General'!$A$5:$A$304,0))&amp;"","No está en el inventario"))</f>
        <v/>
      </c>
      <c r="D80" s="25" t="str">
        <f>IF($B80="","",IFERROR(INDEX('Inventario General'!$C$5:$C$304,MATCH($B80,'Inventario General'!$A$5:$A$304,0))&amp;"","No está en el inventario"))</f>
        <v/>
      </c>
      <c r="E80" s="27"/>
      <c r="F80" s="26"/>
      <c r="G80" s="26"/>
      <c r="H80" s="26"/>
      <c r="I80" s="28"/>
      <c r="J80" s="26"/>
      <c r="K80" s="45"/>
      <c r="L80" s="26"/>
      <c r="M80" s="27"/>
      <c r="N80" s="49" t="str">
        <f t="shared" ca="1" si="2"/>
        <v/>
      </c>
      <c r="O80" s="26"/>
    </row>
    <row r="81" spans="1:15" x14ac:dyDescent="0.25">
      <c r="A81" s="26"/>
      <c r="B81" s="26"/>
      <c r="C81" s="25" t="str">
        <f>IF($B81="","",IFERROR(INDEX('Inventario General'!$B$5:$B$304,MATCH($B81,'Inventario General'!$A$5:$A$304,0))&amp;"","No está en el inventario"))</f>
        <v/>
      </c>
      <c r="D81" s="25" t="str">
        <f>IF($B81="","",IFERROR(INDEX('Inventario General'!$C$5:$C$304,MATCH($B81,'Inventario General'!$A$5:$A$304,0))&amp;"","No está en el inventario"))</f>
        <v/>
      </c>
      <c r="E81" s="27"/>
      <c r="F81" s="26"/>
      <c r="G81" s="26"/>
      <c r="H81" s="26"/>
      <c r="I81" s="28"/>
      <c r="J81" s="26"/>
      <c r="K81" s="45"/>
      <c r="L81" s="26"/>
      <c r="M81" s="27"/>
      <c r="N81" s="49" t="str">
        <f t="shared" ca="1" si="2"/>
        <v/>
      </c>
      <c r="O81" s="26"/>
    </row>
    <row r="82" spans="1:15" x14ac:dyDescent="0.25">
      <c r="A82" s="26"/>
      <c r="B82" s="26"/>
      <c r="C82" s="25" t="str">
        <f>IF($B82="","",IFERROR(INDEX('Inventario General'!$B$5:$B$304,MATCH($B82,'Inventario General'!$A$5:$A$304,0))&amp;"","No está en el inventario"))</f>
        <v/>
      </c>
      <c r="D82" s="25" t="str">
        <f>IF($B82="","",IFERROR(INDEX('Inventario General'!$C$5:$C$304,MATCH($B82,'Inventario General'!$A$5:$A$304,0))&amp;"","No está en el inventario"))</f>
        <v/>
      </c>
      <c r="E82" s="27"/>
      <c r="F82" s="26"/>
      <c r="G82" s="26"/>
      <c r="H82" s="26"/>
      <c r="I82" s="28"/>
      <c r="J82" s="26"/>
      <c r="K82" s="45"/>
      <c r="L82" s="26"/>
      <c r="M82" s="27"/>
      <c r="N82" s="49" t="str">
        <f t="shared" ca="1" si="2"/>
        <v/>
      </c>
      <c r="O82" s="26"/>
    </row>
    <row r="83" spans="1:15" x14ac:dyDescent="0.25">
      <c r="A83" s="26"/>
      <c r="B83" s="26"/>
      <c r="C83" s="25" t="str">
        <f>IF($B83="","",IFERROR(INDEX('Inventario General'!$B$5:$B$304,MATCH($B83,'Inventario General'!$A$5:$A$304,0))&amp;"","No está en el inventario"))</f>
        <v/>
      </c>
      <c r="D83" s="25" t="str">
        <f>IF($B83="","",IFERROR(INDEX('Inventario General'!$C$5:$C$304,MATCH($B83,'Inventario General'!$A$5:$A$304,0))&amp;"","No está en el inventario"))</f>
        <v/>
      </c>
      <c r="E83" s="27"/>
      <c r="F83" s="26"/>
      <c r="G83" s="26"/>
      <c r="H83" s="26"/>
      <c r="I83" s="28"/>
      <c r="J83" s="26"/>
      <c r="K83" s="45"/>
      <c r="L83" s="26"/>
      <c r="M83" s="27"/>
      <c r="N83" s="49" t="str">
        <f t="shared" ca="1" si="2"/>
        <v/>
      </c>
      <c r="O83" s="26"/>
    </row>
    <row r="84" spans="1:15" x14ac:dyDescent="0.25">
      <c r="A84" s="26"/>
      <c r="B84" s="26"/>
      <c r="C84" s="25" t="str">
        <f>IF($B84="","",IFERROR(INDEX('Inventario General'!$B$5:$B$304,MATCH($B84,'Inventario General'!$A$5:$A$304,0))&amp;"","No está en el inventario"))</f>
        <v/>
      </c>
      <c r="D84" s="25" t="str">
        <f>IF($B84="","",IFERROR(INDEX('Inventario General'!$C$5:$C$304,MATCH($B84,'Inventario General'!$A$5:$A$304,0))&amp;"","No está en el inventario"))</f>
        <v/>
      </c>
      <c r="E84" s="27"/>
      <c r="F84" s="26"/>
      <c r="G84" s="26"/>
      <c r="H84" s="26"/>
      <c r="I84" s="28"/>
      <c r="J84" s="26"/>
      <c r="K84" s="45"/>
      <c r="L84" s="26"/>
      <c r="M84" s="27"/>
      <c r="N84" s="49" t="str">
        <f t="shared" ca="1" si="2"/>
        <v/>
      </c>
      <c r="O84" s="26"/>
    </row>
    <row r="85" spans="1:15" x14ac:dyDescent="0.25">
      <c r="A85" s="26"/>
      <c r="B85" s="26"/>
      <c r="C85" s="25" t="str">
        <f>IF($B85="","",IFERROR(INDEX('Inventario General'!$B$5:$B$304,MATCH($B85,'Inventario General'!$A$5:$A$304,0))&amp;"","No está en el inventario"))</f>
        <v/>
      </c>
      <c r="D85" s="25" t="str">
        <f>IF($B85="","",IFERROR(INDEX('Inventario General'!$C$5:$C$304,MATCH($B85,'Inventario General'!$A$5:$A$304,0))&amp;"","No está en el inventario"))</f>
        <v/>
      </c>
      <c r="E85" s="27"/>
      <c r="F85" s="26"/>
      <c r="G85" s="26"/>
      <c r="H85" s="26"/>
      <c r="I85" s="28"/>
      <c r="J85" s="26"/>
      <c r="K85" s="45"/>
      <c r="L85" s="26"/>
      <c r="M85" s="27"/>
      <c r="N85" s="49" t="str">
        <f t="shared" ca="1" si="2"/>
        <v/>
      </c>
      <c r="O85" s="26"/>
    </row>
    <row r="86" spans="1:15" x14ac:dyDescent="0.25">
      <c r="A86" s="26"/>
      <c r="B86" s="26"/>
      <c r="C86" s="25" t="str">
        <f>IF($B86="","",IFERROR(INDEX('Inventario General'!$B$5:$B$304,MATCH($B86,'Inventario General'!$A$5:$A$304,0))&amp;"","No está en el inventario"))</f>
        <v/>
      </c>
      <c r="D86" s="25" t="str">
        <f>IF($B86="","",IFERROR(INDEX('Inventario General'!$C$5:$C$304,MATCH($B86,'Inventario General'!$A$5:$A$304,0))&amp;"","No está en el inventario"))</f>
        <v/>
      </c>
      <c r="E86" s="27"/>
      <c r="F86" s="26"/>
      <c r="G86" s="26"/>
      <c r="H86" s="26"/>
      <c r="I86" s="28"/>
      <c r="J86" s="26"/>
      <c r="K86" s="45"/>
      <c r="L86" s="26"/>
      <c r="M86" s="27"/>
      <c r="N86" s="49" t="str">
        <f t="shared" ca="1" si="2"/>
        <v/>
      </c>
      <c r="O86" s="26"/>
    </row>
    <row r="87" spans="1:15" x14ac:dyDescent="0.25">
      <c r="A87" s="26"/>
      <c r="B87" s="26"/>
      <c r="C87" s="25" t="str">
        <f>IF($B87="","",IFERROR(INDEX('Inventario General'!$B$5:$B$304,MATCH($B87,'Inventario General'!$A$5:$A$304,0))&amp;"","No está en el inventario"))</f>
        <v/>
      </c>
      <c r="D87" s="25" t="str">
        <f>IF($B87="","",IFERROR(INDEX('Inventario General'!$C$5:$C$304,MATCH($B87,'Inventario General'!$A$5:$A$304,0))&amp;"","No está en el inventario"))</f>
        <v/>
      </c>
      <c r="E87" s="27"/>
      <c r="F87" s="26"/>
      <c r="G87" s="26"/>
      <c r="H87" s="26"/>
      <c r="I87" s="28"/>
      <c r="J87" s="26"/>
      <c r="K87" s="45"/>
      <c r="L87" s="26"/>
      <c r="M87" s="27"/>
      <c r="N87" s="49" t="str">
        <f t="shared" ca="1" si="2"/>
        <v/>
      </c>
      <c r="O87" s="26"/>
    </row>
    <row r="88" spans="1:15" x14ac:dyDescent="0.25">
      <c r="A88" s="26"/>
      <c r="B88" s="26"/>
      <c r="C88" s="25" t="str">
        <f>IF($B88="","",IFERROR(INDEX('Inventario General'!$B$5:$B$304,MATCH($B88,'Inventario General'!$A$5:$A$304,0))&amp;"","No está en el inventario"))</f>
        <v/>
      </c>
      <c r="D88" s="25" t="str">
        <f>IF($B88="","",IFERROR(INDEX('Inventario General'!$C$5:$C$304,MATCH($B88,'Inventario General'!$A$5:$A$304,0))&amp;"","No está en el inventario"))</f>
        <v/>
      </c>
      <c r="E88" s="27"/>
      <c r="F88" s="26"/>
      <c r="G88" s="26"/>
      <c r="H88" s="26"/>
      <c r="I88" s="28"/>
      <c r="J88" s="26"/>
      <c r="K88" s="45"/>
      <c r="L88" s="26"/>
      <c r="M88" s="27"/>
      <c r="N88" s="49" t="str">
        <f t="shared" ca="1" si="2"/>
        <v/>
      </c>
      <c r="O88" s="26"/>
    </row>
    <row r="89" spans="1:15" x14ac:dyDescent="0.25">
      <c r="A89" s="26"/>
      <c r="B89" s="26"/>
      <c r="C89" s="25" t="str">
        <f>IF($B89="","",IFERROR(INDEX('Inventario General'!$B$5:$B$304,MATCH($B89,'Inventario General'!$A$5:$A$304,0))&amp;"","No está en el inventario"))</f>
        <v/>
      </c>
      <c r="D89" s="25" t="str">
        <f>IF($B89="","",IFERROR(INDEX('Inventario General'!$C$5:$C$304,MATCH($B89,'Inventario General'!$A$5:$A$304,0))&amp;"","No está en el inventario"))</f>
        <v/>
      </c>
      <c r="E89" s="27"/>
      <c r="F89" s="26"/>
      <c r="G89" s="26"/>
      <c r="H89" s="26"/>
      <c r="I89" s="28"/>
      <c r="J89" s="26"/>
      <c r="K89" s="45"/>
      <c r="L89" s="26"/>
      <c r="M89" s="27"/>
      <c r="N89" s="49" t="str">
        <f t="shared" ca="1" si="2"/>
        <v/>
      </c>
      <c r="O89" s="26"/>
    </row>
    <row r="90" spans="1:15" x14ac:dyDescent="0.25">
      <c r="A90" s="26"/>
      <c r="B90" s="26"/>
      <c r="C90" s="25" t="str">
        <f>IF($B90="","",IFERROR(INDEX('Inventario General'!$B$5:$B$304,MATCH($B90,'Inventario General'!$A$5:$A$304,0))&amp;"","No está en el inventario"))</f>
        <v/>
      </c>
      <c r="D90" s="25" t="str">
        <f>IF($B90="","",IFERROR(INDEX('Inventario General'!$C$5:$C$304,MATCH($B90,'Inventario General'!$A$5:$A$304,0))&amp;"","No está en el inventario"))</f>
        <v/>
      </c>
      <c r="E90" s="27"/>
      <c r="F90" s="26"/>
      <c r="G90" s="26"/>
      <c r="H90" s="26"/>
      <c r="I90" s="28"/>
      <c r="J90" s="26"/>
      <c r="K90" s="45"/>
      <c r="L90" s="26"/>
      <c r="M90" s="27"/>
      <c r="N90" s="49" t="str">
        <f t="shared" ca="1" si="2"/>
        <v/>
      </c>
      <c r="O90" s="26"/>
    </row>
    <row r="91" spans="1:15" x14ac:dyDescent="0.25">
      <c r="A91" s="26"/>
      <c r="B91" s="26"/>
      <c r="C91" s="25" t="str">
        <f>IF($B91="","",IFERROR(INDEX('Inventario General'!$B$5:$B$304,MATCH($B91,'Inventario General'!$A$5:$A$304,0))&amp;"","No está en el inventario"))</f>
        <v/>
      </c>
      <c r="D91" s="25" t="str">
        <f>IF($B91="","",IFERROR(INDEX('Inventario General'!$C$5:$C$304,MATCH($B91,'Inventario General'!$A$5:$A$304,0))&amp;"","No está en el inventario"))</f>
        <v/>
      </c>
      <c r="E91" s="27"/>
      <c r="F91" s="26"/>
      <c r="G91" s="26"/>
      <c r="H91" s="26"/>
      <c r="I91" s="28"/>
      <c r="J91" s="26"/>
      <c r="K91" s="45"/>
      <c r="L91" s="26"/>
      <c r="M91" s="27"/>
      <c r="N91" s="49" t="str">
        <f t="shared" ca="1" si="2"/>
        <v/>
      </c>
      <c r="O91" s="26"/>
    </row>
    <row r="92" spans="1:15" x14ac:dyDescent="0.25">
      <c r="A92" s="26"/>
      <c r="B92" s="26"/>
      <c r="C92" s="25" t="str">
        <f>IF($B92="","",IFERROR(INDEX('Inventario General'!$B$5:$B$304,MATCH($B92,'Inventario General'!$A$5:$A$304,0))&amp;"","No está en el inventario"))</f>
        <v/>
      </c>
      <c r="D92" s="25" t="str">
        <f>IF($B92="","",IFERROR(INDEX('Inventario General'!$C$5:$C$304,MATCH($B92,'Inventario General'!$A$5:$A$304,0))&amp;"","No está en el inventario"))</f>
        <v/>
      </c>
      <c r="E92" s="27"/>
      <c r="F92" s="26"/>
      <c r="G92" s="26"/>
      <c r="H92" s="26"/>
      <c r="I92" s="28"/>
      <c r="J92" s="26"/>
      <c r="K92" s="45"/>
      <c r="L92" s="26"/>
      <c r="M92" s="27"/>
      <c r="N92" s="49" t="str">
        <f t="shared" ca="1" si="2"/>
        <v/>
      </c>
      <c r="O92" s="26"/>
    </row>
    <row r="93" spans="1:15" x14ac:dyDescent="0.25">
      <c r="A93" s="26"/>
      <c r="B93" s="26"/>
      <c r="C93" s="25" t="str">
        <f>IF($B93="","",IFERROR(INDEX('Inventario General'!$B$5:$B$304,MATCH($B93,'Inventario General'!$A$5:$A$304,0))&amp;"","No está en el inventario"))</f>
        <v/>
      </c>
      <c r="D93" s="25" t="str">
        <f>IF($B93="","",IFERROR(INDEX('Inventario General'!$C$5:$C$304,MATCH($B93,'Inventario General'!$A$5:$A$304,0))&amp;"","No está en el inventario"))</f>
        <v/>
      </c>
      <c r="E93" s="27"/>
      <c r="F93" s="26"/>
      <c r="G93" s="26"/>
      <c r="H93" s="26"/>
      <c r="I93" s="28"/>
      <c r="J93" s="26"/>
      <c r="K93" s="45"/>
      <c r="L93" s="26"/>
      <c r="M93" s="27"/>
      <c r="N93" s="49" t="str">
        <f t="shared" ca="1" si="2"/>
        <v/>
      </c>
      <c r="O93" s="26"/>
    </row>
    <row r="94" spans="1:15" x14ac:dyDescent="0.25">
      <c r="A94" s="26"/>
      <c r="B94" s="26"/>
      <c r="C94" s="25" t="str">
        <f>IF($B94="","",IFERROR(INDEX('Inventario General'!$B$5:$B$304,MATCH($B94,'Inventario General'!$A$5:$A$304,0))&amp;"","No está en el inventario"))</f>
        <v/>
      </c>
      <c r="D94" s="25" t="str">
        <f>IF($B94="","",IFERROR(INDEX('Inventario General'!$C$5:$C$304,MATCH($B94,'Inventario General'!$A$5:$A$304,0))&amp;"","No está en el inventario"))</f>
        <v/>
      </c>
      <c r="E94" s="27"/>
      <c r="F94" s="26"/>
      <c r="G94" s="26"/>
      <c r="H94" s="26"/>
      <c r="I94" s="28"/>
      <c r="J94" s="26"/>
      <c r="K94" s="45"/>
      <c r="L94" s="26"/>
      <c r="M94" s="27"/>
      <c r="N94" s="49" t="str">
        <f t="shared" ca="1" si="2"/>
        <v/>
      </c>
      <c r="O94" s="26"/>
    </row>
    <row r="95" spans="1:15" x14ac:dyDescent="0.25">
      <c r="A95" s="26"/>
      <c r="B95" s="26"/>
      <c r="C95" s="25" t="str">
        <f>IF($B95="","",IFERROR(INDEX('Inventario General'!$B$5:$B$304,MATCH($B95,'Inventario General'!$A$5:$A$304,0))&amp;"","No está en el inventario"))</f>
        <v/>
      </c>
      <c r="D95" s="25" t="str">
        <f>IF($B95="","",IFERROR(INDEX('Inventario General'!$C$5:$C$304,MATCH($B95,'Inventario General'!$A$5:$A$304,0))&amp;"","No está en el inventario"))</f>
        <v/>
      </c>
      <c r="E95" s="27"/>
      <c r="F95" s="26"/>
      <c r="G95" s="26"/>
      <c r="H95" s="26"/>
      <c r="I95" s="28"/>
      <c r="J95" s="26"/>
      <c r="K95" s="45"/>
      <c r="L95" s="26"/>
      <c r="M95" s="27"/>
      <c r="N95" s="49" t="str">
        <f t="shared" ca="1" si="2"/>
        <v/>
      </c>
      <c r="O95" s="26"/>
    </row>
    <row r="96" spans="1:15" x14ac:dyDescent="0.25">
      <c r="A96" s="26"/>
      <c r="B96" s="26"/>
      <c r="C96" s="25" t="str">
        <f>IF($B96="","",IFERROR(INDEX('Inventario General'!$B$5:$B$304,MATCH($B96,'Inventario General'!$A$5:$A$304,0))&amp;"","No está en el inventario"))</f>
        <v/>
      </c>
      <c r="D96" s="25" t="str">
        <f>IF($B96="","",IFERROR(INDEX('Inventario General'!$C$5:$C$304,MATCH($B96,'Inventario General'!$A$5:$A$304,0))&amp;"","No está en el inventario"))</f>
        <v/>
      </c>
      <c r="E96" s="27"/>
      <c r="F96" s="26"/>
      <c r="G96" s="26"/>
      <c r="H96" s="26"/>
      <c r="I96" s="28"/>
      <c r="J96" s="26"/>
      <c r="K96" s="45"/>
      <c r="L96" s="26"/>
      <c r="M96" s="27"/>
      <c r="N96" s="49" t="str">
        <f t="shared" ca="1" si="2"/>
        <v/>
      </c>
      <c r="O96" s="26"/>
    </row>
    <row r="97" spans="1:15" x14ac:dyDescent="0.25">
      <c r="A97" s="26"/>
      <c r="B97" s="26"/>
      <c r="C97" s="25" t="str">
        <f>IF($B97="","",IFERROR(INDEX('Inventario General'!$B$5:$B$304,MATCH($B97,'Inventario General'!$A$5:$A$304,0))&amp;"","No está en el inventario"))</f>
        <v/>
      </c>
      <c r="D97" s="25" t="str">
        <f>IF($B97="","",IFERROR(INDEX('Inventario General'!$C$5:$C$304,MATCH($B97,'Inventario General'!$A$5:$A$304,0))&amp;"","No está en el inventario"))</f>
        <v/>
      </c>
      <c r="E97" s="27"/>
      <c r="F97" s="26"/>
      <c r="G97" s="26"/>
      <c r="H97" s="26"/>
      <c r="I97" s="28"/>
      <c r="J97" s="26"/>
      <c r="K97" s="45"/>
      <c r="L97" s="26"/>
      <c r="M97" s="27"/>
      <c r="N97" s="49" t="str">
        <f t="shared" ca="1" si="2"/>
        <v/>
      </c>
      <c r="O97" s="26"/>
    </row>
    <row r="98" spans="1:15" x14ac:dyDescent="0.25">
      <c r="A98" s="26"/>
      <c r="B98" s="26"/>
      <c r="C98" s="25" t="str">
        <f>IF($B98="","",IFERROR(INDEX('Inventario General'!$B$5:$B$304,MATCH($B98,'Inventario General'!$A$5:$A$304,0))&amp;"","No está en el inventario"))</f>
        <v/>
      </c>
      <c r="D98" s="25" t="str">
        <f>IF($B98="","",IFERROR(INDEX('Inventario General'!$C$5:$C$304,MATCH($B98,'Inventario General'!$A$5:$A$304,0))&amp;"","No está en el inventario"))</f>
        <v/>
      </c>
      <c r="E98" s="27"/>
      <c r="F98" s="26"/>
      <c r="G98" s="26"/>
      <c r="H98" s="26"/>
      <c r="I98" s="28"/>
      <c r="J98" s="26"/>
      <c r="K98" s="45"/>
      <c r="L98" s="26"/>
      <c r="M98" s="27"/>
      <c r="N98" s="49" t="str">
        <f t="shared" ca="1" si="2"/>
        <v/>
      </c>
      <c r="O98" s="26"/>
    </row>
    <row r="99" spans="1:15" x14ac:dyDescent="0.25">
      <c r="A99" s="26"/>
      <c r="B99" s="26"/>
      <c r="C99" s="25" t="str">
        <f>IF($B99="","",IFERROR(INDEX('Inventario General'!$B$5:$B$304,MATCH($B99,'Inventario General'!$A$5:$A$304,0))&amp;"","No está en el inventario"))</f>
        <v/>
      </c>
      <c r="D99" s="25" t="str">
        <f>IF($B99="","",IFERROR(INDEX('Inventario General'!$C$5:$C$304,MATCH($B99,'Inventario General'!$A$5:$A$304,0))&amp;"","No está en el inventario"))</f>
        <v/>
      </c>
      <c r="E99" s="27"/>
      <c r="F99" s="26"/>
      <c r="G99" s="26"/>
      <c r="H99" s="26"/>
      <c r="I99" s="28"/>
      <c r="J99" s="26"/>
      <c r="K99" s="45"/>
      <c r="L99" s="26"/>
      <c r="M99" s="27"/>
      <c r="N99" s="49" t="str">
        <f t="shared" ca="1" si="2"/>
        <v/>
      </c>
      <c r="O99" s="26"/>
    </row>
    <row r="100" spans="1:15" x14ac:dyDescent="0.25">
      <c r="A100" s="26"/>
      <c r="B100" s="26"/>
      <c r="C100" s="25" t="str">
        <f>IF($B100="","",IFERROR(INDEX('Inventario General'!$B$5:$B$304,MATCH($B100,'Inventario General'!$A$5:$A$304,0))&amp;"","No está en el inventario"))</f>
        <v/>
      </c>
      <c r="D100" s="25" t="str">
        <f>IF($B100="","",IFERROR(INDEX('Inventario General'!$C$5:$C$304,MATCH($B100,'Inventario General'!$A$5:$A$304,0))&amp;"","No está en el inventario"))</f>
        <v/>
      </c>
      <c r="E100" s="27"/>
      <c r="F100" s="26"/>
      <c r="G100" s="26"/>
      <c r="H100" s="26"/>
      <c r="I100" s="28"/>
      <c r="J100" s="26"/>
      <c r="K100" s="45"/>
      <c r="L100" s="26"/>
      <c r="M100" s="27"/>
      <c r="N100" s="49" t="str">
        <f t="shared" ca="1" si="2"/>
        <v/>
      </c>
      <c r="O100" s="26"/>
    </row>
    <row r="101" spans="1:15" x14ac:dyDescent="0.25">
      <c r="A101" s="26"/>
      <c r="B101" s="26"/>
      <c r="C101" s="25" t="str">
        <f>IF($B101="","",IFERROR(INDEX('Inventario General'!$B$5:$B$304,MATCH($B101,'Inventario General'!$A$5:$A$304,0))&amp;"","No está en el inventario"))</f>
        <v/>
      </c>
      <c r="D101" s="25" t="str">
        <f>IF($B101="","",IFERROR(INDEX('Inventario General'!$C$5:$C$304,MATCH($B101,'Inventario General'!$A$5:$A$304,0))&amp;"","No está en el inventario"))</f>
        <v/>
      </c>
      <c r="E101" s="27"/>
      <c r="F101" s="26"/>
      <c r="G101" s="26"/>
      <c r="H101" s="26"/>
      <c r="I101" s="28"/>
      <c r="J101" s="26"/>
      <c r="K101" s="45"/>
      <c r="L101" s="26"/>
      <c r="M101" s="27"/>
      <c r="N101" s="49" t="str">
        <f t="shared" ref="N101:N132" ca="1" si="3">IF(M101="","",M101-TODAY())</f>
        <v/>
      </c>
      <c r="O101" s="26"/>
    </row>
    <row r="102" spans="1:15" x14ac:dyDescent="0.25">
      <c r="A102" s="26"/>
      <c r="B102" s="26"/>
      <c r="C102" s="25" t="str">
        <f>IF($B102="","",IFERROR(INDEX('Inventario General'!$B$5:$B$304,MATCH($B102,'Inventario General'!$A$5:$A$304,0))&amp;"","No está en el inventario"))</f>
        <v/>
      </c>
      <c r="D102" s="25" t="str">
        <f>IF($B102="","",IFERROR(INDEX('Inventario General'!$C$5:$C$304,MATCH($B102,'Inventario General'!$A$5:$A$304,0))&amp;"","No está en el inventario"))</f>
        <v/>
      </c>
      <c r="E102" s="27"/>
      <c r="F102" s="26"/>
      <c r="G102" s="26"/>
      <c r="H102" s="26"/>
      <c r="I102" s="28"/>
      <c r="J102" s="26"/>
      <c r="K102" s="45"/>
      <c r="L102" s="26"/>
      <c r="M102" s="27"/>
      <c r="N102" s="49" t="str">
        <f t="shared" ca="1" si="3"/>
        <v/>
      </c>
      <c r="O102" s="26"/>
    </row>
    <row r="103" spans="1:15" x14ac:dyDescent="0.25">
      <c r="A103" s="26"/>
      <c r="B103" s="26"/>
      <c r="C103" s="25" t="str">
        <f>IF($B103="","",IFERROR(INDEX('Inventario General'!$B$5:$B$304,MATCH($B103,'Inventario General'!$A$5:$A$304,0))&amp;"","No está en el inventario"))</f>
        <v/>
      </c>
      <c r="D103" s="25" t="str">
        <f>IF($B103="","",IFERROR(INDEX('Inventario General'!$C$5:$C$304,MATCH($B103,'Inventario General'!$A$5:$A$304,0))&amp;"","No está en el inventario"))</f>
        <v/>
      </c>
      <c r="E103" s="27"/>
      <c r="F103" s="26"/>
      <c r="G103" s="26"/>
      <c r="H103" s="26"/>
      <c r="I103" s="28"/>
      <c r="J103" s="26"/>
      <c r="K103" s="45"/>
      <c r="L103" s="26"/>
      <c r="M103" s="27"/>
      <c r="N103" s="49" t="str">
        <f t="shared" ca="1" si="3"/>
        <v/>
      </c>
      <c r="O103" s="26"/>
    </row>
    <row r="104" spans="1:15" x14ac:dyDescent="0.25">
      <c r="A104" s="26"/>
      <c r="B104" s="26"/>
      <c r="C104" s="25" t="str">
        <f>IF($B104="","",IFERROR(INDEX('Inventario General'!$B$5:$B$304,MATCH($B104,'Inventario General'!$A$5:$A$304,0))&amp;"","No está en el inventario"))</f>
        <v/>
      </c>
      <c r="D104" s="25" t="str">
        <f>IF($B104="","",IFERROR(INDEX('Inventario General'!$C$5:$C$304,MATCH($B104,'Inventario General'!$A$5:$A$304,0))&amp;"","No está en el inventario"))</f>
        <v/>
      </c>
      <c r="E104" s="27"/>
      <c r="F104" s="26"/>
      <c r="G104" s="26"/>
      <c r="H104" s="26"/>
      <c r="I104" s="28"/>
      <c r="J104" s="26"/>
      <c r="K104" s="45"/>
      <c r="L104" s="26"/>
      <c r="M104" s="27"/>
      <c r="N104" s="49" t="str">
        <f t="shared" ca="1" si="3"/>
        <v/>
      </c>
      <c r="O104" s="26"/>
    </row>
    <row r="105" spans="1:15" x14ac:dyDescent="0.25">
      <c r="A105" s="26"/>
      <c r="B105" s="26"/>
      <c r="C105" s="25" t="str">
        <f>IF($B105="","",IFERROR(INDEX('Inventario General'!$B$5:$B$304,MATCH($B105,'Inventario General'!$A$5:$A$304,0))&amp;"","No está en el inventario"))</f>
        <v/>
      </c>
      <c r="D105" s="25" t="str">
        <f>IF($B105="","",IFERROR(INDEX('Inventario General'!$C$5:$C$304,MATCH($B105,'Inventario General'!$A$5:$A$304,0))&amp;"","No está en el inventario"))</f>
        <v/>
      </c>
      <c r="E105" s="27"/>
      <c r="F105" s="26"/>
      <c r="G105" s="26"/>
      <c r="H105" s="26"/>
      <c r="I105" s="28"/>
      <c r="J105" s="26"/>
      <c r="K105" s="45"/>
      <c r="L105" s="26"/>
      <c r="M105" s="27"/>
      <c r="N105" s="49" t="str">
        <f t="shared" ca="1" si="3"/>
        <v/>
      </c>
      <c r="O105" s="26"/>
    </row>
    <row r="106" spans="1:15" x14ac:dyDescent="0.25">
      <c r="A106" s="26"/>
      <c r="B106" s="26"/>
      <c r="C106" s="25" t="str">
        <f>IF($B106="","",IFERROR(INDEX('Inventario General'!$B$5:$B$304,MATCH($B106,'Inventario General'!$A$5:$A$304,0))&amp;"","No está en el inventario"))</f>
        <v/>
      </c>
      <c r="D106" s="25" t="str">
        <f>IF($B106="","",IFERROR(INDEX('Inventario General'!$C$5:$C$304,MATCH($B106,'Inventario General'!$A$5:$A$304,0))&amp;"","No está en el inventario"))</f>
        <v/>
      </c>
      <c r="E106" s="27"/>
      <c r="F106" s="26"/>
      <c r="G106" s="26"/>
      <c r="H106" s="26"/>
      <c r="I106" s="28"/>
      <c r="J106" s="26"/>
      <c r="K106" s="45"/>
      <c r="L106" s="26"/>
      <c r="M106" s="27"/>
      <c r="N106" s="49" t="str">
        <f t="shared" ca="1" si="3"/>
        <v/>
      </c>
      <c r="O106" s="26"/>
    </row>
    <row r="107" spans="1:15" x14ac:dyDescent="0.25">
      <c r="A107" s="26"/>
      <c r="B107" s="26"/>
      <c r="C107" s="25" t="str">
        <f>IF($B107="","",IFERROR(INDEX('Inventario General'!$B$5:$B$304,MATCH($B107,'Inventario General'!$A$5:$A$304,0))&amp;"","No está en el inventario"))</f>
        <v/>
      </c>
      <c r="D107" s="25" t="str">
        <f>IF($B107="","",IFERROR(INDEX('Inventario General'!$C$5:$C$304,MATCH($B107,'Inventario General'!$A$5:$A$304,0))&amp;"","No está en el inventario"))</f>
        <v/>
      </c>
      <c r="E107" s="27"/>
      <c r="F107" s="26"/>
      <c r="G107" s="26"/>
      <c r="H107" s="26"/>
      <c r="I107" s="28"/>
      <c r="J107" s="26"/>
      <c r="K107" s="45"/>
      <c r="L107" s="26"/>
      <c r="M107" s="27"/>
      <c r="N107" s="49" t="str">
        <f t="shared" ca="1" si="3"/>
        <v/>
      </c>
      <c r="O107" s="26"/>
    </row>
    <row r="108" spans="1:15" x14ac:dyDescent="0.25">
      <c r="A108" s="26"/>
      <c r="B108" s="26"/>
      <c r="C108" s="25" t="str">
        <f>IF($B108="","",IFERROR(INDEX('Inventario General'!$B$5:$B$304,MATCH($B108,'Inventario General'!$A$5:$A$304,0))&amp;"","No está en el inventario"))</f>
        <v/>
      </c>
      <c r="D108" s="25" t="str">
        <f>IF($B108="","",IFERROR(INDEX('Inventario General'!$C$5:$C$304,MATCH($B108,'Inventario General'!$A$5:$A$304,0))&amp;"","No está en el inventario"))</f>
        <v/>
      </c>
      <c r="E108" s="27"/>
      <c r="F108" s="26"/>
      <c r="G108" s="26"/>
      <c r="H108" s="26"/>
      <c r="I108" s="28"/>
      <c r="J108" s="26"/>
      <c r="K108" s="45"/>
      <c r="L108" s="26"/>
      <c r="M108" s="27"/>
      <c r="N108" s="49" t="str">
        <f t="shared" ca="1" si="3"/>
        <v/>
      </c>
      <c r="O108" s="26"/>
    </row>
    <row r="109" spans="1:15" x14ac:dyDescent="0.25">
      <c r="A109" s="26"/>
      <c r="B109" s="26"/>
      <c r="C109" s="25" t="str">
        <f>IF($B109="","",IFERROR(INDEX('Inventario General'!$B$5:$B$304,MATCH($B109,'Inventario General'!$A$5:$A$304,0))&amp;"","No está en el inventario"))</f>
        <v/>
      </c>
      <c r="D109" s="25" t="str">
        <f>IF($B109="","",IFERROR(INDEX('Inventario General'!$C$5:$C$304,MATCH($B109,'Inventario General'!$A$5:$A$304,0))&amp;"","No está en el inventario"))</f>
        <v/>
      </c>
      <c r="E109" s="27"/>
      <c r="F109" s="26"/>
      <c r="G109" s="26"/>
      <c r="H109" s="26"/>
      <c r="I109" s="28"/>
      <c r="J109" s="26"/>
      <c r="K109" s="45"/>
      <c r="L109" s="26"/>
      <c r="M109" s="27"/>
      <c r="N109" s="49" t="str">
        <f t="shared" ca="1" si="3"/>
        <v/>
      </c>
      <c r="O109" s="26"/>
    </row>
    <row r="110" spans="1:15" x14ac:dyDescent="0.25">
      <c r="A110" s="26"/>
      <c r="B110" s="26"/>
      <c r="C110" s="25" t="str">
        <f>IF($B110="","",IFERROR(INDEX('Inventario General'!$B$5:$B$304,MATCH($B110,'Inventario General'!$A$5:$A$304,0))&amp;"","No está en el inventario"))</f>
        <v/>
      </c>
      <c r="D110" s="25" t="str">
        <f>IF($B110="","",IFERROR(INDEX('Inventario General'!$C$5:$C$304,MATCH($B110,'Inventario General'!$A$5:$A$304,0))&amp;"","No está en el inventario"))</f>
        <v/>
      </c>
      <c r="E110" s="27"/>
      <c r="F110" s="26"/>
      <c r="G110" s="26"/>
      <c r="H110" s="26"/>
      <c r="I110" s="28"/>
      <c r="J110" s="26"/>
      <c r="K110" s="45"/>
      <c r="L110" s="26"/>
      <c r="M110" s="27"/>
      <c r="N110" s="49" t="str">
        <f t="shared" ca="1" si="3"/>
        <v/>
      </c>
      <c r="O110" s="26"/>
    </row>
    <row r="111" spans="1:15" x14ac:dyDescent="0.25">
      <c r="A111" s="26"/>
      <c r="B111" s="26"/>
      <c r="C111" s="25" t="str">
        <f>IF($B111="","",IFERROR(INDEX('Inventario General'!$B$5:$B$304,MATCH($B111,'Inventario General'!$A$5:$A$304,0))&amp;"","No está en el inventario"))</f>
        <v/>
      </c>
      <c r="D111" s="25" t="str">
        <f>IF($B111="","",IFERROR(INDEX('Inventario General'!$C$5:$C$304,MATCH($B111,'Inventario General'!$A$5:$A$304,0))&amp;"","No está en el inventario"))</f>
        <v/>
      </c>
      <c r="E111" s="27"/>
      <c r="F111" s="26"/>
      <c r="G111" s="26"/>
      <c r="H111" s="26"/>
      <c r="I111" s="28"/>
      <c r="J111" s="26"/>
      <c r="K111" s="45"/>
      <c r="L111" s="26"/>
      <c r="M111" s="27"/>
      <c r="N111" s="49" t="str">
        <f t="shared" ca="1" si="3"/>
        <v/>
      </c>
      <c r="O111" s="26"/>
    </row>
    <row r="112" spans="1:15" x14ac:dyDescent="0.25">
      <c r="A112" s="26"/>
      <c r="B112" s="26"/>
      <c r="C112" s="25" t="str">
        <f>IF($B112="","",IFERROR(INDEX('Inventario General'!$B$5:$B$304,MATCH($B112,'Inventario General'!$A$5:$A$304,0))&amp;"","No está en el inventario"))</f>
        <v/>
      </c>
      <c r="D112" s="25" t="str">
        <f>IF($B112="","",IFERROR(INDEX('Inventario General'!$C$5:$C$304,MATCH($B112,'Inventario General'!$A$5:$A$304,0))&amp;"","No está en el inventario"))</f>
        <v/>
      </c>
      <c r="E112" s="27"/>
      <c r="F112" s="26"/>
      <c r="G112" s="26"/>
      <c r="H112" s="26"/>
      <c r="I112" s="28"/>
      <c r="J112" s="26"/>
      <c r="K112" s="45"/>
      <c r="L112" s="26"/>
      <c r="M112" s="27"/>
      <c r="N112" s="49" t="str">
        <f t="shared" ca="1" si="3"/>
        <v/>
      </c>
      <c r="O112" s="26"/>
    </row>
    <row r="113" spans="1:15" x14ac:dyDescent="0.25">
      <c r="A113" s="26"/>
      <c r="B113" s="26"/>
      <c r="C113" s="25" t="str">
        <f>IF($B113="","",IFERROR(INDEX('Inventario General'!$B$5:$B$304,MATCH($B113,'Inventario General'!$A$5:$A$304,0))&amp;"","No está en el inventario"))</f>
        <v/>
      </c>
      <c r="D113" s="25" t="str">
        <f>IF($B113="","",IFERROR(INDEX('Inventario General'!$C$5:$C$304,MATCH($B113,'Inventario General'!$A$5:$A$304,0))&amp;"","No está en el inventario"))</f>
        <v/>
      </c>
      <c r="E113" s="27"/>
      <c r="F113" s="26"/>
      <c r="G113" s="26"/>
      <c r="H113" s="26"/>
      <c r="I113" s="28"/>
      <c r="J113" s="26"/>
      <c r="K113" s="45"/>
      <c r="L113" s="26"/>
      <c r="M113" s="27"/>
      <c r="N113" s="49" t="str">
        <f t="shared" ca="1" si="3"/>
        <v/>
      </c>
      <c r="O113" s="26"/>
    </row>
    <row r="114" spans="1:15" x14ac:dyDescent="0.25">
      <c r="A114" s="26"/>
      <c r="B114" s="26"/>
      <c r="C114" s="25" t="str">
        <f>IF($B114="","",IFERROR(INDEX('Inventario General'!$B$5:$B$304,MATCH($B114,'Inventario General'!$A$5:$A$304,0))&amp;"","No está en el inventario"))</f>
        <v/>
      </c>
      <c r="D114" s="25" t="str">
        <f>IF($B114="","",IFERROR(INDEX('Inventario General'!$C$5:$C$304,MATCH($B114,'Inventario General'!$A$5:$A$304,0))&amp;"","No está en el inventario"))</f>
        <v/>
      </c>
      <c r="E114" s="27"/>
      <c r="F114" s="26"/>
      <c r="G114" s="26"/>
      <c r="H114" s="26"/>
      <c r="I114" s="28"/>
      <c r="J114" s="26"/>
      <c r="K114" s="45"/>
      <c r="L114" s="26"/>
      <c r="M114" s="27"/>
      <c r="N114" s="49" t="str">
        <f t="shared" ca="1" si="3"/>
        <v/>
      </c>
      <c r="O114" s="26"/>
    </row>
    <row r="115" spans="1:15" x14ac:dyDescent="0.25">
      <c r="A115" s="26"/>
      <c r="B115" s="26"/>
      <c r="C115" s="25" t="str">
        <f>IF($B115="","",IFERROR(INDEX('Inventario General'!$B$5:$B$304,MATCH($B115,'Inventario General'!$A$5:$A$304,0))&amp;"","No está en el inventario"))</f>
        <v/>
      </c>
      <c r="D115" s="25" t="str">
        <f>IF($B115="","",IFERROR(INDEX('Inventario General'!$C$5:$C$304,MATCH($B115,'Inventario General'!$A$5:$A$304,0))&amp;"","No está en el inventario"))</f>
        <v/>
      </c>
      <c r="E115" s="27"/>
      <c r="F115" s="26"/>
      <c r="G115" s="26"/>
      <c r="H115" s="26"/>
      <c r="I115" s="28"/>
      <c r="J115" s="26"/>
      <c r="K115" s="45"/>
      <c r="L115" s="26"/>
      <c r="M115" s="27"/>
      <c r="N115" s="49" t="str">
        <f t="shared" ca="1" si="3"/>
        <v/>
      </c>
      <c r="O115" s="26"/>
    </row>
    <row r="116" spans="1:15" x14ac:dyDescent="0.25">
      <c r="A116" s="26"/>
      <c r="B116" s="26"/>
      <c r="C116" s="25" t="str">
        <f>IF($B116="","",IFERROR(INDEX('Inventario General'!$B$5:$B$304,MATCH($B116,'Inventario General'!$A$5:$A$304,0))&amp;"","No está en el inventario"))</f>
        <v/>
      </c>
      <c r="D116" s="25" t="str">
        <f>IF($B116="","",IFERROR(INDEX('Inventario General'!$C$5:$C$304,MATCH($B116,'Inventario General'!$A$5:$A$304,0))&amp;"","No está en el inventario"))</f>
        <v/>
      </c>
      <c r="E116" s="27"/>
      <c r="F116" s="26"/>
      <c r="G116" s="26"/>
      <c r="H116" s="26"/>
      <c r="I116" s="28"/>
      <c r="J116" s="26"/>
      <c r="K116" s="45"/>
      <c r="L116" s="26"/>
      <c r="M116" s="27"/>
      <c r="N116" s="49" t="str">
        <f t="shared" ca="1" si="3"/>
        <v/>
      </c>
      <c r="O116" s="26"/>
    </row>
    <row r="117" spans="1:15" x14ac:dyDescent="0.25">
      <c r="A117" s="26"/>
      <c r="B117" s="26"/>
      <c r="C117" s="25" t="str">
        <f>IF($B117="","",IFERROR(INDEX('Inventario General'!$B$5:$B$304,MATCH($B117,'Inventario General'!$A$5:$A$304,0))&amp;"","No está en el inventario"))</f>
        <v/>
      </c>
      <c r="D117" s="25" t="str">
        <f>IF($B117="","",IFERROR(INDEX('Inventario General'!$C$5:$C$304,MATCH($B117,'Inventario General'!$A$5:$A$304,0))&amp;"","No está en el inventario"))</f>
        <v/>
      </c>
      <c r="E117" s="27"/>
      <c r="F117" s="26"/>
      <c r="G117" s="26"/>
      <c r="H117" s="26"/>
      <c r="I117" s="28"/>
      <c r="J117" s="26"/>
      <c r="K117" s="45"/>
      <c r="L117" s="26"/>
      <c r="M117" s="27"/>
      <c r="N117" s="49" t="str">
        <f t="shared" ca="1" si="3"/>
        <v/>
      </c>
      <c r="O117" s="26"/>
    </row>
    <row r="118" spans="1:15" x14ac:dyDescent="0.25">
      <c r="A118" s="26"/>
      <c r="B118" s="26"/>
      <c r="C118" s="25" t="str">
        <f>IF($B118="","",IFERROR(INDEX('Inventario General'!$B$5:$B$304,MATCH($B118,'Inventario General'!$A$5:$A$304,0))&amp;"","No está en el inventario"))</f>
        <v/>
      </c>
      <c r="D118" s="25" t="str">
        <f>IF($B118="","",IFERROR(INDEX('Inventario General'!$C$5:$C$304,MATCH($B118,'Inventario General'!$A$5:$A$304,0))&amp;"","No está en el inventario"))</f>
        <v/>
      </c>
      <c r="E118" s="27"/>
      <c r="F118" s="26"/>
      <c r="G118" s="26"/>
      <c r="H118" s="26"/>
      <c r="I118" s="28"/>
      <c r="J118" s="26"/>
      <c r="K118" s="45"/>
      <c r="L118" s="26"/>
      <c r="M118" s="27"/>
      <c r="N118" s="49" t="str">
        <f t="shared" ca="1" si="3"/>
        <v/>
      </c>
      <c r="O118" s="26"/>
    </row>
    <row r="119" spans="1:15" x14ac:dyDescent="0.25">
      <c r="A119" s="26"/>
      <c r="B119" s="26"/>
      <c r="C119" s="25" t="str">
        <f>IF($B119="","",IFERROR(INDEX('Inventario General'!$B$5:$B$304,MATCH($B119,'Inventario General'!$A$5:$A$304,0))&amp;"","No está en el inventario"))</f>
        <v/>
      </c>
      <c r="D119" s="25" t="str">
        <f>IF($B119="","",IFERROR(INDEX('Inventario General'!$C$5:$C$304,MATCH($B119,'Inventario General'!$A$5:$A$304,0))&amp;"","No está en el inventario"))</f>
        <v/>
      </c>
      <c r="E119" s="27"/>
      <c r="F119" s="26"/>
      <c r="G119" s="26"/>
      <c r="H119" s="26"/>
      <c r="I119" s="28"/>
      <c r="J119" s="26"/>
      <c r="K119" s="45"/>
      <c r="L119" s="26"/>
      <c r="M119" s="27"/>
      <c r="N119" s="49" t="str">
        <f t="shared" ca="1" si="3"/>
        <v/>
      </c>
      <c r="O119" s="26"/>
    </row>
    <row r="120" spans="1:15" x14ac:dyDescent="0.25">
      <c r="A120" s="26"/>
      <c r="B120" s="26"/>
      <c r="C120" s="25" t="str">
        <f>IF($B120="","",IFERROR(INDEX('Inventario General'!$B$5:$B$304,MATCH($B120,'Inventario General'!$A$5:$A$304,0))&amp;"","No está en el inventario"))</f>
        <v/>
      </c>
      <c r="D120" s="25" t="str">
        <f>IF($B120="","",IFERROR(INDEX('Inventario General'!$C$5:$C$304,MATCH($B120,'Inventario General'!$A$5:$A$304,0))&amp;"","No está en el inventario"))</f>
        <v/>
      </c>
      <c r="E120" s="27"/>
      <c r="F120" s="26"/>
      <c r="G120" s="26"/>
      <c r="H120" s="26"/>
      <c r="I120" s="28"/>
      <c r="J120" s="26"/>
      <c r="K120" s="45"/>
      <c r="L120" s="26"/>
      <c r="M120" s="27"/>
      <c r="N120" s="49" t="str">
        <f t="shared" ca="1" si="3"/>
        <v/>
      </c>
      <c r="O120" s="26"/>
    </row>
    <row r="121" spans="1:15" x14ac:dyDescent="0.25">
      <c r="A121" s="26"/>
      <c r="B121" s="26"/>
      <c r="C121" s="25" t="str">
        <f>IF($B121="","",IFERROR(INDEX('Inventario General'!$B$5:$B$304,MATCH($B121,'Inventario General'!$A$5:$A$304,0))&amp;"","No está en el inventario"))</f>
        <v/>
      </c>
      <c r="D121" s="25" t="str">
        <f>IF($B121="","",IFERROR(INDEX('Inventario General'!$C$5:$C$304,MATCH($B121,'Inventario General'!$A$5:$A$304,0))&amp;"","No está en el inventario"))</f>
        <v/>
      </c>
      <c r="E121" s="27"/>
      <c r="F121" s="26"/>
      <c r="G121" s="26"/>
      <c r="H121" s="26"/>
      <c r="I121" s="28"/>
      <c r="J121" s="26"/>
      <c r="K121" s="45"/>
      <c r="L121" s="26"/>
      <c r="M121" s="27"/>
      <c r="N121" s="49" t="str">
        <f t="shared" ca="1" si="3"/>
        <v/>
      </c>
      <c r="O121" s="26"/>
    </row>
    <row r="122" spans="1:15" x14ac:dyDescent="0.25">
      <c r="A122" s="26"/>
      <c r="B122" s="26"/>
      <c r="C122" s="25" t="str">
        <f>IF($B122="","",IFERROR(INDEX('Inventario General'!$B$5:$B$304,MATCH($B122,'Inventario General'!$A$5:$A$304,0))&amp;"","No está en el inventario"))</f>
        <v/>
      </c>
      <c r="D122" s="25" t="str">
        <f>IF($B122="","",IFERROR(INDEX('Inventario General'!$C$5:$C$304,MATCH($B122,'Inventario General'!$A$5:$A$304,0))&amp;"","No está en el inventario"))</f>
        <v/>
      </c>
      <c r="E122" s="27"/>
      <c r="F122" s="26"/>
      <c r="G122" s="26"/>
      <c r="H122" s="26"/>
      <c r="I122" s="28"/>
      <c r="J122" s="26"/>
      <c r="K122" s="45"/>
      <c r="L122" s="26"/>
      <c r="M122" s="27"/>
      <c r="N122" s="49" t="str">
        <f t="shared" ca="1" si="3"/>
        <v/>
      </c>
      <c r="O122" s="26"/>
    </row>
    <row r="123" spans="1:15" x14ac:dyDescent="0.25">
      <c r="A123" s="26"/>
      <c r="B123" s="26"/>
      <c r="C123" s="25" t="str">
        <f>IF($B123="","",IFERROR(INDEX('Inventario General'!$B$5:$B$304,MATCH($B123,'Inventario General'!$A$5:$A$304,0))&amp;"","No está en el inventario"))</f>
        <v/>
      </c>
      <c r="D123" s="25" t="str">
        <f>IF($B123="","",IFERROR(INDEX('Inventario General'!$C$5:$C$304,MATCH($B123,'Inventario General'!$A$5:$A$304,0))&amp;"","No está en el inventario"))</f>
        <v/>
      </c>
      <c r="E123" s="27"/>
      <c r="F123" s="26"/>
      <c r="G123" s="26"/>
      <c r="H123" s="26"/>
      <c r="I123" s="28"/>
      <c r="J123" s="26"/>
      <c r="K123" s="45"/>
      <c r="L123" s="26"/>
      <c r="M123" s="27"/>
      <c r="N123" s="49" t="str">
        <f t="shared" ca="1" si="3"/>
        <v/>
      </c>
      <c r="O123" s="26"/>
    </row>
    <row r="124" spans="1:15" x14ac:dyDescent="0.25">
      <c r="A124" s="26"/>
      <c r="B124" s="26"/>
      <c r="C124" s="25" t="str">
        <f>IF($B124="","",IFERROR(INDEX('Inventario General'!$B$5:$B$304,MATCH($B124,'Inventario General'!$A$5:$A$304,0))&amp;"","No está en el inventario"))</f>
        <v/>
      </c>
      <c r="D124" s="25" t="str">
        <f>IF($B124="","",IFERROR(INDEX('Inventario General'!$C$5:$C$304,MATCH($B124,'Inventario General'!$A$5:$A$304,0))&amp;"","No está en el inventario"))</f>
        <v/>
      </c>
      <c r="E124" s="27"/>
      <c r="F124" s="26"/>
      <c r="G124" s="26"/>
      <c r="H124" s="26"/>
      <c r="I124" s="28"/>
      <c r="J124" s="26"/>
      <c r="K124" s="45"/>
      <c r="L124" s="26"/>
      <c r="M124" s="27"/>
      <c r="N124" s="49" t="str">
        <f t="shared" ca="1" si="3"/>
        <v/>
      </c>
      <c r="O124" s="26"/>
    </row>
    <row r="125" spans="1:15" x14ac:dyDescent="0.25">
      <c r="A125" s="26"/>
      <c r="B125" s="26"/>
      <c r="C125" s="25" t="str">
        <f>IF($B125="","",IFERROR(INDEX('Inventario General'!$B$5:$B$304,MATCH($B125,'Inventario General'!$A$5:$A$304,0))&amp;"","No está en el inventario"))</f>
        <v/>
      </c>
      <c r="D125" s="25" t="str">
        <f>IF($B125="","",IFERROR(INDEX('Inventario General'!$C$5:$C$304,MATCH($B125,'Inventario General'!$A$5:$A$304,0))&amp;"","No está en el inventario"))</f>
        <v/>
      </c>
      <c r="E125" s="27"/>
      <c r="F125" s="26"/>
      <c r="G125" s="26"/>
      <c r="H125" s="26"/>
      <c r="I125" s="28"/>
      <c r="J125" s="26"/>
      <c r="K125" s="45"/>
      <c r="L125" s="26"/>
      <c r="M125" s="27"/>
      <c r="N125" s="49" t="str">
        <f t="shared" ca="1" si="3"/>
        <v/>
      </c>
      <c r="O125" s="26"/>
    </row>
    <row r="126" spans="1:15" x14ac:dyDescent="0.25">
      <c r="A126" s="26"/>
      <c r="B126" s="26"/>
      <c r="C126" s="25" t="str">
        <f>IF($B126="","",IFERROR(INDEX('Inventario General'!$B$5:$B$304,MATCH($B126,'Inventario General'!$A$5:$A$304,0))&amp;"","No está en el inventario"))</f>
        <v/>
      </c>
      <c r="D126" s="25" t="str">
        <f>IF($B126="","",IFERROR(INDEX('Inventario General'!$C$5:$C$304,MATCH($B126,'Inventario General'!$A$5:$A$304,0))&amp;"","No está en el inventario"))</f>
        <v/>
      </c>
      <c r="E126" s="27"/>
      <c r="F126" s="26"/>
      <c r="G126" s="26"/>
      <c r="H126" s="26"/>
      <c r="I126" s="28"/>
      <c r="J126" s="26"/>
      <c r="K126" s="45"/>
      <c r="L126" s="26"/>
      <c r="M126" s="27"/>
      <c r="N126" s="49" t="str">
        <f t="shared" ca="1" si="3"/>
        <v/>
      </c>
      <c r="O126" s="26"/>
    </row>
    <row r="127" spans="1:15" x14ac:dyDescent="0.25">
      <c r="A127" s="26"/>
      <c r="B127" s="26"/>
      <c r="C127" s="25" t="str">
        <f>IF($B127="","",IFERROR(INDEX('Inventario General'!$B$5:$B$304,MATCH($B127,'Inventario General'!$A$5:$A$304,0))&amp;"","No está en el inventario"))</f>
        <v/>
      </c>
      <c r="D127" s="25" t="str">
        <f>IF($B127="","",IFERROR(INDEX('Inventario General'!$C$5:$C$304,MATCH($B127,'Inventario General'!$A$5:$A$304,0))&amp;"","No está en el inventario"))</f>
        <v/>
      </c>
      <c r="E127" s="27"/>
      <c r="F127" s="26"/>
      <c r="G127" s="26"/>
      <c r="H127" s="26"/>
      <c r="I127" s="28"/>
      <c r="J127" s="26"/>
      <c r="K127" s="45"/>
      <c r="L127" s="26"/>
      <c r="M127" s="27"/>
      <c r="N127" s="49" t="str">
        <f t="shared" ca="1" si="3"/>
        <v/>
      </c>
      <c r="O127" s="26"/>
    </row>
    <row r="128" spans="1:15" x14ac:dyDescent="0.25">
      <c r="A128" s="26"/>
      <c r="B128" s="26"/>
      <c r="C128" s="25" t="str">
        <f>IF($B128="","",IFERROR(INDEX('Inventario General'!$B$5:$B$304,MATCH($B128,'Inventario General'!$A$5:$A$304,0))&amp;"","No está en el inventario"))</f>
        <v/>
      </c>
      <c r="D128" s="25" t="str">
        <f>IF($B128="","",IFERROR(INDEX('Inventario General'!$C$5:$C$304,MATCH($B128,'Inventario General'!$A$5:$A$304,0))&amp;"","No está en el inventario"))</f>
        <v/>
      </c>
      <c r="E128" s="27"/>
      <c r="F128" s="26"/>
      <c r="G128" s="26"/>
      <c r="H128" s="26"/>
      <c r="I128" s="28"/>
      <c r="J128" s="26"/>
      <c r="K128" s="45"/>
      <c r="L128" s="26"/>
      <c r="M128" s="27"/>
      <c r="N128" s="49" t="str">
        <f t="shared" ca="1" si="3"/>
        <v/>
      </c>
      <c r="O128" s="26"/>
    </row>
    <row r="129" spans="1:15" x14ac:dyDescent="0.25">
      <c r="A129" s="26"/>
      <c r="B129" s="26"/>
      <c r="C129" s="25" t="str">
        <f>IF($B129="","",IFERROR(INDEX('Inventario General'!$B$5:$B$304,MATCH($B129,'Inventario General'!$A$5:$A$304,0))&amp;"","No está en el inventario"))</f>
        <v/>
      </c>
      <c r="D129" s="25" t="str">
        <f>IF($B129="","",IFERROR(INDEX('Inventario General'!$C$5:$C$304,MATCH($B129,'Inventario General'!$A$5:$A$304,0))&amp;"","No está en el inventario"))</f>
        <v/>
      </c>
      <c r="E129" s="27"/>
      <c r="F129" s="26"/>
      <c r="G129" s="26"/>
      <c r="H129" s="26"/>
      <c r="I129" s="28"/>
      <c r="J129" s="26"/>
      <c r="K129" s="45"/>
      <c r="L129" s="26"/>
      <c r="M129" s="27"/>
      <c r="N129" s="49" t="str">
        <f t="shared" ca="1" si="3"/>
        <v/>
      </c>
      <c r="O129" s="26"/>
    </row>
    <row r="130" spans="1:15" x14ac:dyDescent="0.25">
      <c r="A130" s="26"/>
      <c r="B130" s="26"/>
      <c r="C130" s="25" t="str">
        <f>IF($B130="","",IFERROR(INDEX('Inventario General'!$B$5:$B$304,MATCH($B130,'Inventario General'!$A$5:$A$304,0))&amp;"","No está en el inventario"))</f>
        <v/>
      </c>
      <c r="D130" s="25" t="str">
        <f>IF($B130="","",IFERROR(INDEX('Inventario General'!$C$5:$C$304,MATCH($B130,'Inventario General'!$A$5:$A$304,0))&amp;"","No está en el inventario"))</f>
        <v/>
      </c>
      <c r="E130" s="27"/>
      <c r="F130" s="26"/>
      <c r="G130" s="26"/>
      <c r="H130" s="26"/>
      <c r="I130" s="28"/>
      <c r="J130" s="26"/>
      <c r="K130" s="45"/>
      <c r="L130" s="26"/>
      <c r="M130" s="27"/>
      <c r="N130" s="49" t="str">
        <f t="shared" ca="1" si="3"/>
        <v/>
      </c>
      <c r="O130" s="26"/>
    </row>
    <row r="131" spans="1:15" x14ac:dyDescent="0.25">
      <c r="A131" s="26"/>
      <c r="B131" s="26"/>
      <c r="C131" s="25" t="str">
        <f>IF($B131="","",IFERROR(INDEX('Inventario General'!$B$5:$B$304,MATCH($B131,'Inventario General'!$A$5:$A$304,0))&amp;"","No está en el inventario"))</f>
        <v/>
      </c>
      <c r="D131" s="25" t="str">
        <f>IF($B131="","",IFERROR(INDEX('Inventario General'!$C$5:$C$304,MATCH($B131,'Inventario General'!$A$5:$A$304,0))&amp;"","No está en el inventario"))</f>
        <v/>
      </c>
      <c r="E131" s="27"/>
      <c r="F131" s="26"/>
      <c r="G131" s="26"/>
      <c r="H131" s="26"/>
      <c r="I131" s="28"/>
      <c r="J131" s="26"/>
      <c r="K131" s="45"/>
      <c r="L131" s="26"/>
      <c r="M131" s="27"/>
      <c r="N131" s="49" t="str">
        <f t="shared" ca="1" si="3"/>
        <v/>
      </c>
      <c r="O131" s="26"/>
    </row>
    <row r="132" spans="1:15" x14ac:dyDescent="0.25">
      <c r="A132" s="26"/>
      <c r="B132" s="26"/>
      <c r="C132" s="25" t="str">
        <f>IF($B132="","",IFERROR(INDEX('Inventario General'!$B$5:$B$304,MATCH($B132,'Inventario General'!$A$5:$A$304,0))&amp;"","No está en el inventario"))</f>
        <v/>
      </c>
      <c r="D132" s="25" t="str">
        <f>IF($B132="","",IFERROR(INDEX('Inventario General'!$C$5:$C$304,MATCH($B132,'Inventario General'!$A$5:$A$304,0))&amp;"","No está en el inventario"))</f>
        <v/>
      </c>
      <c r="E132" s="27"/>
      <c r="F132" s="26"/>
      <c r="G132" s="26"/>
      <c r="H132" s="26"/>
      <c r="I132" s="28"/>
      <c r="J132" s="26"/>
      <c r="K132" s="45"/>
      <c r="L132" s="26"/>
      <c r="M132" s="27"/>
      <c r="N132" s="49" t="str">
        <f t="shared" ca="1" si="3"/>
        <v/>
      </c>
      <c r="O132" s="26"/>
    </row>
    <row r="133" spans="1:15" x14ac:dyDescent="0.25">
      <c r="A133" s="26"/>
      <c r="B133" s="26"/>
      <c r="C133" s="25" t="str">
        <f>IF($B133="","",IFERROR(INDEX('Inventario General'!$B$5:$B$304,MATCH($B133,'Inventario General'!$A$5:$A$304,0))&amp;"","No está en el inventario"))</f>
        <v/>
      </c>
      <c r="D133" s="25" t="str">
        <f>IF($B133="","",IFERROR(INDEX('Inventario General'!$C$5:$C$304,MATCH($B133,'Inventario General'!$A$5:$A$304,0))&amp;"","No está en el inventario"))</f>
        <v/>
      </c>
      <c r="E133" s="27"/>
      <c r="F133" s="26"/>
      <c r="G133" s="26"/>
      <c r="H133" s="26"/>
      <c r="I133" s="28"/>
      <c r="J133" s="26"/>
      <c r="K133" s="45"/>
      <c r="L133" s="26"/>
      <c r="M133" s="27"/>
      <c r="N133" s="49" t="str">
        <f t="shared" ref="N133:N164" ca="1" si="4">IF(M133="","",M133-TODAY())</f>
        <v/>
      </c>
      <c r="O133" s="26"/>
    </row>
    <row r="134" spans="1:15" x14ac:dyDescent="0.25">
      <c r="A134" s="26"/>
      <c r="B134" s="26"/>
      <c r="C134" s="25" t="str">
        <f>IF($B134="","",IFERROR(INDEX('Inventario General'!$B$5:$B$304,MATCH($B134,'Inventario General'!$A$5:$A$304,0))&amp;"","No está en el inventario"))</f>
        <v/>
      </c>
      <c r="D134" s="25" t="str">
        <f>IF($B134="","",IFERROR(INDEX('Inventario General'!$C$5:$C$304,MATCH($B134,'Inventario General'!$A$5:$A$304,0))&amp;"","No está en el inventario"))</f>
        <v/>
      </c>
      <c r="E134" s="27"/>
      <c r="F134" s="26"/>
      <c r="G134" s="26"/>
      <c r="H134" s="26"/>
      <c r="I134" s="28"/>
      <c r="J134" s="26"/>
      <c r="K134" s="45"/>
      <c r="L134" s="26"/>
      <c r="M134" s="27"/>
      <c r="N134" s="49" t="str">
        <f t="shared" ca="1" si="4"/>
        <v/>
      </c>
      <c r="O134" s="26"/>
    </row>
    <row r="135" spans="1:15" x14ac:dyDescent="0.25">
      <c r="A135" s="26"/>
      <c r="B135" s="26"/>
      <c r="C135" s="25" t="str">
        <f>IF($B135="","",IFERROR(INDEX('Inventario General'!$B$5:$B$304,MATCH($B135,'Inventario General'!$A$5:$A$304,0))&amp;"","No está en el inventario"))</f>
        <v/>
      </c>
      <c r="D135" s="25" t="str">
        <f>IF($B135="","",IFERROR(INDEX('Inventario General'!$C$5:$C$304,MATCH($B135,'Inventario General'!$A$5:$A$304,0))&amp;"","No está en el inventario"))</f>
        <v/>
      </c>
      <c r="E135" s="27"/>
      <c r="F135" s="26"/>
      <c r="G135" s="26"/>
      <c r="H135" s="26"/>
      <c r="I135" s="28"/>
      <c r="J135" s="26"/>
      <c r="K135" s="45"/>
      <c r="L135" s="26"/>
      <c r="M135" s="27"/>
      <c r="N135" s="49" t="str">
        <f t="shared" ca="1" si="4"/>
        <v/>
      </c>
      <c r="O135" s="26"/>
    </row>
    <row r="136" spans="1:15" x14ac:dyDescent="0.25">
      <c r="A136" s="26"/>
      <c r="B136" s="26"/>
      <c r="C136" s="25" t="str">
        <f>IF($B136="","",IFERROR(INDEX('Inventario General'!$B$5:$B$304,MATCH($B136,'Inventario General'!$A$5:$A$304,0))&amp;"","No está en el inventario"))</f>
        <v/>
      </c>
      <c r="D136" s="25" t="str">
        <f>IF($B136="","",IFERROR(INDEX('Inventario General'!$C$5:$C$304,MATCH($B136,'Inventario General'!$A$5:$A$304,0))&amp;"","No está en el inventario"))</f>
        <v/>
      </c>
      <c r="E136" s="27"/>
      <c r="F136" s="26"/>
      <c r="G136" s="26"/>
      <c r="H136" s="26"/>
      <c r="I136" s="28"/>
      <c r="J136" s="26"/>
      <c r="K136" s="45"/>
      <c r="L136" s="26"/>
      <c r="M136" s="27"/>
      <c r="N136" s="49" t="str">
        <f t="shared" ca="1" si="4"/>
        <v/>
      </c>
      <c r="O136" s="26"/>
    </row>
    <row r="137" spans="1:15" x14ac:dyDescent="0.25">
      <c r="A137" s="26"/>
      <c r="B137" s="26"/>
      <c r="C137" s="25" t="str">
        <f>IF($B137="","",IFERROR(INDEX('Inventario General'!$B$5:$B$304,MATCH($B137,'Inventario General'!$A$5:$A$304,0))&amp;"","No está en el inventario"))</f>
        <v/>
      </c>
      <c r="D137" s="25" t="str">
        <f>IF($B137="","",IFERROR(INDEX('Inventario General'!$C$5:$C$304,MATCH($B137,'Inventario General'!$A$5:$A$304,0))&amp;"","No está en el inventario"))</f>
        <v/>
      </c>
      <c r="E137" s="27"/>
      <c r="F137" s="26"/>
      <c r="G137" s="26"/>
      <c r="H137" s="26"/>
      <c r="I137" s="28"/>
      <c r="J137" s="26"/>
      <c r="K137" s="45"/>
      <c r="L137" s="26"/>
      <c r="M137" s="27"/>
      <c r="N137" s="49" t="str">
        <f t="shared" ca="1" si="4"/>
        <v/>
      </c>
      <c r="O137" s="26"/>
    </row>
    <row r="138" spans="1:15" x14ac:dyDescent="0.25">
      <c r="A138" s="26"/>
      <c r="B138" s="26"/>
      <c r="C138" s="25" t="str">
        <f>IF($B138="","",IFERROR(INDEX('Inventario General'!$B$5:$B$304,MATCH($B138,'Inventario General'!$A$5:$A$304,0))&amp;"","No está en el inventario"))</f>
        <v/>
      </c>
      <c r="D138" s="25" t="str">
        <f>IF($B138="","",IFERROR(INDEX('Inventario General'!$C$5:$C$304,MATCH($B138,'Inventario General'!$A$5:$A$304,0))&amp;"","No está en el inventario"))</f>
        <v/>
      </c>
      <c r="E138" s="27"/>
      <c r="F138" s="26"/>
      <c r="G138" s="26"/>
      <c r="H138" s="26"/>
      <c r="I138" s="28"/>
      <c r="J138" s="26"/>
      <c r="K138" s="45"/>
      <c r="L138" s="26"/>
      <c r="M138" s="27"/>
      <c r="N138" s="49" t="str">
        <f t="shared" ca="1" si="4"/>
        <v/>
      </c>
      <c r="O138" s="26"/>
    </row>
    <row r="139" spans="1:15" x14ac:dyDescent="0.25">
      <c r="A139" s="26"/>
      <c r="B139" s="26"/>
      <c r="C139" s="25" t="str">
        <f>IF($B139="","",IFERROR(INDEX('Inventario General'!$B$5:$B$304,MATCH($B139,'Inventario General'!$A$5:$A$304,0))&amp;"","No está en el inventario"))</f>
        <v/>
      </c>
      <c r="D139" s="25" t="str">
        <f>IF($B139="","",IFERROR(INDEX('Inventario General'!$C$5:$C$304,MATCH($B139,'Inventario General'!$A$5:$A$304,0))&amp;"","No está en el inventario"))</f>
        <v/>
      </c>
      <c r="E139" s="27"/>
      <c r="F139" s="26"/>
      <c r="G139" s="26"/>
      <c r="H139" s="26"/>
      <c r="I139" s="28"/>
      <c r="J139" s="26"/>
      <c r="K139" s="45"/>
      <c r="L139" s="26"/>
      <c r="M139" s="27"/>
      <c r="N139" s="49" t="str">
        <f t="shared" ca="1" si="4"/>
        <v/>
      </c>
      <c r="O139" s="26"/>
    </row>
    <row r="140" spans="1:15" x14ac:dyDescent="0.25">
      <c r="A140" s="26"/>
      <c r="B140" s="26"/>
      <c r="C140" s="25" t="str">
        <f>IF($B140="","",IFERROR(INDEX('Inventario General'!$B$5:$B$304,MATCH($B140,'Inventario General'!$A$5:$A$304,0))&amp;"","No está en el inventario"))</f>
        <v/>
      </c>
      <c r="D140" s="25" t="str">
        <f>IF($B140="","",IFERROR(INDEX('Inventario General'!$C$5:$C$304,MATCH($B140,'Inventario General'!$A$5:$A$304,0))&amp;"","No está en el inventario"))</f>
        <v/>
      </c>
      <c r="E140" s="27"/>
      <c r="F140" s="26"/>
      <c r="G140" s="26"/>
      <c r="H140" s="26"/>
      <c r="I140" s="28"/>
      <c r="J140" s="26"/>
      <c r="K140" s="45"/>
      <c r="L140" s="26"/>
      <c r="M140" s="27"/>
      <c r="N140" s="49" t="str">
        <f t="shared" ca="1" si="4"/>
        <v/>
      </c>
      <c r="O140" s="26"/>
    </row>
    <row r="141" spans="1:15" x14ac:dyDescent="0.25">
      <c r="A141" s="26"/>
      <c r="B141" s="26"/>
      <c r="C141" s="25" t="str">
        <f>IF($B141="","",IFERROR(INDEX('Inventario General'!$B$5:$B$304,MATCH($B141,'Inventario General'!$A$5:$A$304,0))&amp;"","No está en el inventario"))</f>
        <v/>
      </c>
      <c r="D141" s="25" t="str">
        <f>IF($B141="","",IFERROR(INDEX('Inventario General'!$C$5:$C$304,MATCH($B141,'Inventario General'!$A$5:$A$304,0))&amp;"","No está en el inventario"))</f>
        <v/>
      </c>
      <c r="E141" s="27"/>
      <c r="F141" s="26"/>
      <c r="G141" s="26"/>
      <c r="H141" s="26"/>
      <c r="I141" s="28"/>
      <c r="J141" s="26"/>
      <c r="K141" s="45"/>
      <c r="L141" s="26"/>
      <c r="M141" s="27"/>
      <c r="N141" s="49" t="str">
        <f t="shared" ca="1" si="4"/>
        <v/>
      </c>
      <c r="O141" s="26"/>
    </row>
    <row r="142" spans="1:15" x14ac:dyDescent="0.25">
      <c r="A142" s="26"/>
      <c r="B142" s="26"/>
      <c r="C142" s="25" t="str">
        <f>IF($B142="","",IFERROR(INDEX('Inventario General'!$B$5:$B$304,MATCH($B142,'Inventario General'!$A$5:$A$304,0))&amp;"","No está en el inventario"))</f>
        <v/>
      </c>
      <c r="D142" s="25" t="str">
        <f>IF($B142="","",IFERROR(INDEX('Inventario General'!$C$5:$C$304,MATCH($B142,'Inventario General'!$A$5:$A$304,0))&amp;"","No está en el inventario"))</f>
        <v/>
      </c>
      <c r="E142" s="27"/>
      <c r="F142" s="26"/>
      <c r="G142" s="26"/>
      <c r="H142" s="26"/>
      <c r="I142" s="28"/>
      <c r="J142" s="26"/>
      <c r="K142" s="45"/>
      <c r="L142" s="26"/>
      <c r="M142" s="27"/>
      <c r="N142" s="49" t="str">
        <f t="shared" ca="1" si="4"/>
        <v/>
      </c>
      <c r="O142" s="26"/>
    </row>
    <row r="143" spans="1:15" x14ac:dyDescent="0.25">
      <c r="A143" s="26"/>
      <c r="B143" s="26"/>
      <c r="C143" s="25" t="str">
        <f>IF($B143="","",IFERROR(INDEX('Inventario General'!$B$5:$B$304,MATCH($B143,'Inventario General'!$A$5:$A$304,0))&amp;"","No está en el inventario"))</f>
        <v/>
      </c>
      <c r="D143" s="25" t="str">
        <f>IF($B143="","",IFERROR(INDEX('Inventario General'!$C$5:$C$304,MATCH($B143,'Inventario General'!$A$5:$A$304,0))&amp;"","No está en el inventario"))</f>
        <v/>
      </c>
      <c r="E143" s="27"/>
      <c r="F143" s="26"/>
      <c r="G143" s="26"/>
      <c r="H143" s="26"/>
      <c r="I143" s="28"/>
      <c r="J143" s="26"/>
      <c r="K143" s="45"/>
      <c r="L143" s="26"/>
      <c r="M143" s="27"/>
      <c r="N143" s="49" t="str">
        <f t="shared" ca="1" si="4"/>
        <v/>
      </c>
      <c r="O143" s="26"/>
    </row>
    <row r="144" spans="1:15" x14ac:dyDescent="0.25">
      <c r="A144" s="26"/>
      <c r="B144" s="26"/>
      <c r="C144" s="25" t="str">
        <f>IF($B144="","",IFERROR(INDEX('Inventario General'!$B$5:$B$304,MATCH($B144,'Inventario General'!$A$5:$A$304,0))&amp;"","No está en el inventario"))</f>
        <v/>
      </c>
      <c r="D144" s="25" t="str">
        <f>IF($B144="","",IFERROR(INDEX('Inventario General'!$C$5:$C$304,MATCH($B144,'Inventario General'!$A$5:$A$304,0))&amp;"","No está en el inventario"))</f>
        <v/>
      </c>
      <c r="E144" s="27"/>
      <c r="F144" s="26"/>
      <c r="G144" s="26"/>
      <c r="H144" s="26"/>
      <c r="I144" s="28"/>
      <c r="J144" s="26"/>
      <c r="K144" s="45"/>
      <c r="L144" s="26"/>
      <c r="M144" s="27"/>
      <c r="N144" s="49" t="str">
        <f t="shared" ca="1" si="4"/>
        <v/>
      </c>
      <c r="O144" s="26"/>
    </row>
    <row r="145" spans="1:15" x14ac:dyDescent="0.25">
      <c r="A145" s="26"/>
      <c r="B145" s="26"/>
      <c r="C145" s="25" t="str">
        <f>IF($B145="","",IFERROR(INDEX('Inventario General'!$B$5:$B$304,MATCH($B145,'Inventario General'!$A$5:$A$304,0))&amp;"","No está en el inventario"))</f>
        <v/>
      </c>
      <c r="D145" s="25" t="str">
        <f>IF($B145="","",IFERROR(INDEX('Inventario General'!$C$5:$C$304,MATCH($B145,'Inventario General'!$A$5:$A$304,0))&amp;"","No está en el inventario"))</f>
        <v/>
      </c>
      <c r="E145" s="27"/>
      <c r="F145" s="26"/>
      <c r="G145" s="26"/>
      <c r="H145" s="26"/>
      <c r="I145" s="28"/>
      <c r="J145" s="26"/>
      <c r="K145" s="45"/>
      <c r="L145" s="26"/>
      <c r="M145" s="27"/>
      <c r="N145" s="49" t="str">
        <f t="shared" ca="1" si="4"/>
        <v/>
      </c>
      <c r="O145" s="26"/>
    </row>
    <row r="146" spans="1:15" x14ac:dyDescent="0.25">
      <c r="A146" s="26"/>
      <c r="B146" s="26"/>
      <c r="C146" s="25" t="str">
        <f>IF($B146="","",IFERROR(INDEX('Inventario General'!$B$5:$B$304,MATCH($B146,'Inventario General'!$A$5:$A$304,0))&amp;"","No está en el inventario"))</f>
        <v/>
      </c>
      <c r="D146" s="25" t="str">
        <f>IF($B146="","",IFERROR(INDEX('Inventario General'!$C$5:$C$304,MATCH($B146,'Inventario General'!$A$5:$A$304,0))&amp;"","No está en el inventario"))</f>
        <v/>
      </c>
      <c r="E146" s="27"/>
      <c r="F146" s="26"/>
      <c r="G146" s="26"/>
      <c r="H146" s="26"/>
      <c r="I146" s="28"/>
      <c r="J146" s="26"/>
      <c r="K146" s="45"/>
      <c r="L146" s="26"/>
      <c r="M146" s="27"/>
      <c r="N146" s="49" t="str">
        <f t="shared" ca="1" si="4"/>
        <v/>
      </c>
      <c r="O146" s="26"/>
    </row>
    <row r="147" spans="1:15" x14ac:dyDescent="0.25">
      <c r="A147" s="26"/>
      <c r="B147" s="26"/>
      <c r="C147" s="25" t="str">
        <f>IF($B147="","",IFERROR(INDEX('Inventario General'!$B$5:$B$304,MATCH($B147,'Inventario General'!$A$5:$A$304,0))&amp;"","No está en el inventario"))</f>
        <v/>
      </c>
      <c r="D147" s="25" t="str">
        <f>IF($B147="","",IFERROR(INDEX('Inventario General'!$C$5:$C$304,MATCH($B147,'Inventario General'!$A$5:$A$304,0))&amp;"","No está en el inventario"))</f>
        <v/>
      </c>
      <c r="E147" s="27"/>
      <c r="F147" s="26"/>
      <c r="G147" s="26"/>
      <c r="H147" s="26"/>
      <c r="I147" s="28"/>
      <c r="J147" s="26"/>
      <c r="K147" s="45"/>
      <c r="L147" s="26"/>
      <c r="M147" s="27"/>
      <c r="N147" s="49" t="str">
        <f t="shared" ca="1" si="4"/>
        <v/>
      </c>
      <c r="O147" s="26"/>
    </row>
    <row r="148" spans="1:15" x14ac:dyDescent="0.25">
      <c r="A148" s="26"/>
      <c r="B148" s="26"/>
      <c r="C148" s="25" t="str">
        <f>IF($B148="","",IFERROR(INDEX('Inventario General'!$B$5:$B$304,MATCH($B148,'Inventario General'!$A$5:$A$304,0))&amp;"","No está en el inventario"))</f>
        <v/>
      </c>
      <c r="D148" s="25" t="str">
        <f>IF($B148="","",IFERROR(INDEX('Inventario General'!$C$5:$C$304,MATCH($B148,'Inventario General'!$A$5:$A$304,0))&amp;"","No está en el inventario"))</f>
        <v/>
      </c>
      <c r="E148" s="27"/>
      <c r="F148" s="26"/>
      <c r="G148" s="26"/>
      <c r="H148" s="26"/>
      <c r="I148" s="28"/>
      <c r="J148" s="26"/>
      <c r="K148" s="45"/>
      <c r="L148" s="26"/>
      <c r="M148" s="27"/>
      <c r="N148" s="49" t="str">
        <f t="shared" ca="1" si="4"/>
        <v/>
      </c>
      <c r="O148" s="26"/>
    </row>
    <row r="149" spans="1:15" x14ac:dyDescent="0.25">
      <c r="A149" s="26"/>
      <c r="B149" s="26"/>
      <c r="C149" s="25" t="str">
        <f>IF($B149="","",IFERROR(INDEX('Inventario General'!$B$5:$B$304,MATCH($B149,'Inventario General'!$A$5:$A$304,0))&amp;"","No está en el inventario"))</f>
        <v/>
      </c>
      <c r="D149" s="25" t="str">
        <f>IF($B149="","",IFERROR(INDEX('Inventario General'!$C$5:$C$304,MATCH($B149,'Inventario General'!$A$5:$A$304,0))&amp;"","No está en el inventario"))</f>
        <v/>
      </c>
      <c r="E149" s="27"/>
      <c r="F149" s="26"/>
      <c r="G149" s="26"/>
      <c r="H149" s="26"/>
      <c r="I149" s="28"/>
      <c r="J149" s="26"/>
      <c r="K149" s="45"/>
      <c r="L149" s="26"/>
      <c r="M149" s="27"/>
      <c r="N149" s="49" t="str">
        <f t="shared" ca="1" si="4"/>
        <v/>
      </c>
      <c r="O149" s="26"/>
    </row>
    <row r="150" spans="1:15" x14ac:dyDescent="0.25">
      <c r="A150" s="26"/>
      <c r="B150" s="26"/>
      <c r="C150" s="25" t="str">
        <f>IF($B150="","",IFERROR(INDEX('Inventario General'!$B$5:$B$304,MATCH($B150,'Inventario General'!$A$5:$A$304,0))&amp;"","No está en el inventario"))</f>
        <v/>
      </c>
      <c r="D150" s="25" t="str">
        <f>IF($B150="","",IFERROR(INDEX('Inventario General'!$C$5:$C$304,MATCH($B150,'Inventario General'!$A$5:$A$304,0))&amp;"","No está en el inventario"))</f>
        <v/>
      </c>
      <c r="E150" s="27"/>
      <c r="F150" s="26"/>
      <c r="G150" s="26"/>
      <c r="H150" s="26"/>
      <c r="I150" s="28"/>
      <c r="J150" s="26"/>
      <c r="K150" s="45"/>
      <c r="L150" s="26"/>
      <c r="M150" s="27"/>
      <c r="N150" s="49" t="str">
        <f t="shared" ca="1" si="4"/>
        <v/>
      </c>
      <c r="O150" s="26"/>
    </row>
    <row r="151" spans="1:15" x14ac:dyDescent="0.25">
      <c r="A151" s="26"/>
      <c r="B151" s="26"/>
      <c r="C151" s="25" t="str">
        <f>IF($B151="","",IFERROR(INDEX('Inventario General'!$B$5:$B$304,MATCH($B151,'Inventario General'!$A$5:$A$304,0))&amp;"","No está en el inventario"))</f>
        <v/>
      </c>
      <c r="D151" s="25" t="str">
        <f>IF($B151="","",IFERROR(INDEX('Inventario General'!$C$5:$C$304,MATCH($B151,'Inventario General'!$A$5:$A$304,0))&amp;"","No está en el inventario"))</f>
        <v/>
      </c>
      <c r="E151" s="27"/>
      <c r="F151" s="26"/>
      <c r="G151" s="26"/>
      <c r="H151" s="26"/>
      <c r="I151" s="28"/>
      <c r="J151" s="26"/>
      <c r="K151" s="45"/>
      <c r="L151" s="26"/>
      <c r="M151" s="27"/>
      <c r="N151" s="49" t="str">
        <f t="shared" ca="1" si="4"/>
        <v/>
      </c>
      <c r="O151" s="26"/>
    </row>
    <row r="152" spans="1:15" x14ac:dyDescent="0.25">
      <c r="A152" s="26"/>
      <c r="B152" s="26"/>
      <c r="C152" s="25" t="str">
        <f>IF($B152="","",IFERROR(INDEX('Inventario General'!$B$5:$B$304,MATCH($B152,'Inventario General'!$A$5:$A$304,0))&amp;"","No está en el inventario"))</f>
        <v/>
      </c>
      <c r="D152" s="25" t="str">
        <f>IF($B152="","",IFERROR(INDEX('Inventario General'!$C$5:$C$304,MATCH($B152,'Inventario General'!$A$5:$A$304,0))&amp;"","No está en el inventario"))</f>
        <v/>
      </c>
      <c r="E152" s="27"/>
      <c r="F152" s="26"/>
      <c r="G152" s="26"/>
      <c r="H152" s="26"/>
      <c r="I152" s="28"/>
      <c r="J152" s="26"/>
      <c r="K152" s="45"/>
      <c r="L152" s="26"/>
      <c r="M152" s="27"/>
      <c r="N152" s="49" t="str">
        <f t="shared" ca="1" si="4"/>
        <v/>
      </c>
      <c r="O152" s="26"/>
    </row>
    <row r="153" spans="1:15" x14ac:dyDescent="0.25">
      <c r="A153" s="26"/>
      <c r="B153" s="26"/>
      <c r="C153" s="25" t="str">
        <f>IF($B153="","",IFERROR(INDEX('Inventario General'!$B$5:$B$304,MATCH($B153,'Inventario General'!$A$5:$A$304,0))&amp;"","No está en el inventario"))</f>
        <v/>
      </c>
      <c r="D153" s="25" t="str">
        <f>IF($B153="","",IFERROR(INDEX('Inventario General'!$C$5:$C$304,MATCH($B153,'Inventario General'!$A$5:$A$304,0))&amp;"","No está en el inventario"))</f>
        <v/>
      </c>
      <c r="E153" s="27"/>
      <c r="F153" s="26"/>
      <c r="G153" s="26"/>
      <c r="H153" s="26"/>
      <c r="I153" s="28"/>
      <c r="J153" s="26"/>
      <c r="K153" s="45"/>
      <c r="L153" s="26"/>
      <c r="M153" s="27"/>
      <c r="N153" s="49" t="str">
        <f t="shared" ca="1" si="4"/>
        <v/>
      </c>
      <c r="O153" s="26"/>
    </row>
    <row r="154" spans="1:15" x14ac:dyDescent="0.25">
      <c r="A154" s="26"/>
      <c r="B154" s="26"/>
      <c r="C154" s="25" t="str">
        <f>IF($B154="","",IFERROR(INDEX('Inventario General'!$B$5:$B$304,MATCH($B154,'Inventario General'!$A$5:$A$304,0))&amp;"","No está en el inventario"))</f>
        <v/>
      </c>
      <c r="D154" s="25" t="str">
        <f>IF($B154="","",IFERROR(INDEX('Inventario General'!$C$5:$C$304,MATCH($B154,'Inventario General'!$A$5:$A$304,0))&amp;"","No está en el inventario"))</f>
        <v/>
      </c>
      <c r="E154" s="27"/>
      <c r="F154" s="26"/>
      <c r="G154" s="26"/>
      <c r="H154" s="26"/>
      <c r="I154" s="28"/>
      <c r="J154" s="26"/>
      <c r="K154" s="45"/>
      <c r="L154" s="26"/>
      <c r="M154" s="27"/>
      <c r="N154" s="49" t="str">
        <f t="shared" ca="1" si="4"/>
        <v/>
      </c>
      <c r="O154" s="26"/>
    </row>
    <row r="155" spans="1:15" x14ac:dyDescent="0.25">
      <c r="A155" s="26"/>
      <c r="B155" s="26"/>
      <c r="C155" s="25" t="str">
        <f>IF($B155="","",IFERROR(INDEX('Inventario General'!$B$5:$B$304,MATCH($B155,'Inventario General'!$A$5:$A$304,0))&amp;"","No está en el inventario"))</f>
        <v/>
      </c>
      <c r="D155" s="25" t="str">
        <f>IF($B155="","",IFERROR(INDEX('Inventario General'!$C$5:$C$304,MATCH($B155,'Inventario General'!$A$5:$A$304,0))&amp;"","No está en el inventario"))</f>
        <v/>
      </c>
      <c r="E155" s="27"/>
      <c r="F155" s="26"/>
      <c r="G155" s="26"/>
      <c r="H155" s="26"/>
      <c r="I155" s="28"/>
      <c r="J155" s="26"/>
      <c r="K155" s="45"/>
      <c r="L155" s="26"/>
      <c r="M155" s="27"/>
      <c r="N155" s="49" t="str">
        <f t="shared" ca="1" si="4"/>
        <v/>
      </c>
      <c r="O155" s="26"/>
    </row>
    <row r="156" spans="1:15" x14ac:dyDescent="0.25">
      <c r="A156" s="26"/>
      <c r="B156" s="26"/>
      <c r="C156" s="25" t="str">
        <f>IF($B156="","",IFERROR(INDEX('Inventario General'!$B$5:$B$304,MATCH($B156,'Inventario General'!$A$5:$A$304,0))&amp;"","No está en el inventario"))</f>
        <v/>
      </c>
      <c r="D156" s="25" t="str">
        <f>IF($B156="","",IFERROR(INDEX('Inventario General'!$C$5:$C$304,MATCH($B156,'Inventario General'!$A$5:$A$304,0))&amp;"","No está en el inventario"))</f>
        <v/>
      </c>
      <c r="E156" s="27"/>
      <c r="F156" s="26"/>
      <c r="G156" s="26"/>
      <c r="H156" s="26"/>
      <c r="I156" s="28"/>
      <c r="J156" s="26"/>
      <c r="K156" s="45"/>
      <c r="L156" s="26"/>
      <c r="M156" s="27"/>
      <c r="N156" s="49" t="str">
        <f t="shared" ca="1" si="4"/>
        <v/>
      </c>
      <c r="O156" s="26"/>
    </row>
    <row r="157" spans="1:15" x14ac:dyDescent="0.25">
      <c r="A157" s="26"/>
      <c r="B157" s="26"/>
      <c r="C157" s="25" t="str">
        <f>IF($B157="","",IFERROR(INDEX('Inventario General'!$B$5:$B$304,MATCH($B157,'Inventario General'!$A$5:$A$304,0))&amp;"","No está en el inventario"))</f>
        <v/>
      </c>
      <c r="D157" s="25" t="str">
        <f>IF($B157="","",IFERROR(INDEX('Inventario General'!$C$5:$C$304,MATCH($B157,'Inventario General'!$A$5:$A$304,0))&amp;"","No está en el inventario"))</f>
        <v/>
      </c>
      <c r="E157" s="27"/>
      <c r="F157" s="26"/>
      <c r="G157" s="26"/>
      <c r="H157" s="26"/>
      <c r="I157" s="28"/>
      <c r="J157" s="26"/>
      <c r="K157" s="45"/>
      <c r="L157" s="26"/>
      <c r="M157" s="27"/>
      <c r="N157" s="49" t="str">
        <f t="shared" ca="1" si="4"/>
        <v/>
      </c>
      <c r="O157" s="26"/>
    </row>
    <row r="158" spans="1:15" x14ac:dyDescent="0.25">
      <c r="A158" s="26"/>
      <c r="B158" s="26"/>
      <c r="C158" s="25" t="str">
        <f>IF($B158="","",IFERROR(INDEX('Inventario General'!$B$5:$B$304,MATCH($B158,'Inventario General'!$A$5:$A$304,0))&amp;"","No está en el inventario"))</f>
        <v/>
      </c>
      <c r="D158" s="25" t="str">
        <f>IF($B158="","",IFERROR(INDEX('Inventario General'!$C$5:$C$304,MATCH($B158,'Inventario General'!$A$5:$A$304,0))&amp;"","No está en el inventario"))</f>
        <v/>
      </c>
      <c r="E158" s="27"/>
      <c r="F158" s="26"/>
      <c r="G158" s="26"/>
      <c r="H158" s="26"/>
      <c r="I158" s="28"/>
      <c r="J158" s="26"/>
      <c r="K158" s="45"/>
      <c r="L158" s="26"/>
      <c r="M158" s="27"/>
      <c r="N158" s="49" t="str">
        <f t="shared" ca="1" si="4"/>
        <v/>
      </c>
      <c r="O158" s="26"/>
    </row>
    <row r="159" spans="1:15" x14ac:dyDescent="0.25">
      <c r="A159" s="26"/>
      <c r="B159" s="26"/>
      <c r="C159" s="25" t="str">
        <f>IF($B159="","",IFERROR(INDEX('Inventario General'!$B$5:$B$304,MATCH($B159,'Inventario General'!$A$5:$A$304,0))&amp;"","No está en el inventario"))</f>
        <v/>
      </c>
      <c r="D159" s="25" t="str">
        <f>IF($B159="","",IFERROR(INDEX('Inventario General'!$C$5:$C$304,MATCH($B159,'Inventario General'!$A$5:$A$304,0))&amp;"","No está en el inventario"))</f>
        <v/>
      </c>
      <c r="E159" s="27"/>
      <c r="F159" s="26"/>
      <c r="G159" s="26"/>
      <c r="H159" s="26"/>
      <c r="I159" s="28"/>
      <c r="J159" s="26"/>
      <c r="K159" s="45"/>
      <c r="L159" s="26"/>
      <c r="M159" s="27"/>
      <c r="N159" s="49" t="str">
        <f t="shared" ca="1" si="4"/>
        <v/>
      </c>
      <c r="O159" s="26"/>
    </row>
    <row r="160" spans="1:15" x14ac:dyDescent="0.25">
      <c r="A160" s="26"/>
      <c r="B160" s="26"/>
      <c r="C160" s="25" t="str">
        <f>IF($B160="","",IFERROR(INDEX('Inventario General'!$B$5:$B$304,MATCH($B160,'Inventario General'!$A$5:$A$304,0))&amp;"","No está en el inventario"))</f>
        <v/>
      </c>
      <c r="D160" s="25" t="str">
        <f>IF($B160="","",IFERROR(INDEX('Inventario General'!$C$5:$C$304,MATCH($B160,'Inventario General'!$A$5:$A$304,0))&amp;"","No está en el inventario"))</f>
        <v/>
      </c>
      <c r="E160" s="27"/>
      <c r="F160" s="26"/>
      <c r="G160" s="26"/>
      <c r="H160" s="26"/>
      <c r="I160" s="28"/>
      <c r="J160" s="26"/>
      <c r="K160" s="45"/>
      <c r="L160" s="26"/>
      <c r="M160" s="27"/>
      <c r="N160" s="49" t="str">
        <f t="shared" ca="1" si="4"/>
        <v/>
      </c>
      <c r="O160" s="26"/>
    </row>
    <row r="161" spans="1:15" x14ac:dyDescent="0.25">
      <c r="A161" s="26"/>
      <c r="B161" s="26"/>
      <c r="C161" s="25" t="str">
        <f>IF($B161="","",IFERROR(INDEX('Inventario General'!$B$5:$B$304,MATCH($B161,'Inventario General'!$A$5:$A$304,0))&amp;"","No está en el inventario"))</f>
        <v/>
      </c>
      <c r="D161" s="25" t="str">
        <f>IF($B161="","",IFERROR(INDEX('Inventario General'!$C$5:$C$304,MATCH($B161,'Inventario General'!$A$5:$A$304,0))&amp;"","No está en el inventario"))</f>
        <v/>
      </c>
      <c r="E161" s="27"/>
      <c r="F161" s="26"/>
      <c r="G161" s="26"/>
      <c r="H161" s="26"/>
      <c r="I161" s="28"/>
      <c r="J161" s="26"/>
      <c r="K161" s="45"/>
      <c r="L161" s="26"/>
      <c r="M161" s="27"/>
      <c r="N161" s="49" t="str">
        <f t="shared" ca="1" si="4"/>
        <v/>
      </c>
      <c r="O161" s="26"/>
    </row>
    <row r="162" spans="1:15" x14ac:dyDescent="0.25">
      <c r="A162" s="26"/>
      <c r="B162" s="26"/>
      <c r="C162" s="25" t="str">
        <f>IF($B162="","",IFERROR(INDEX('Inventario General'!$B$5:$B$304,MATCH($B162,'Inventario General'!$A$5:$A$304,0))&amp;"","No está en el inventario"))</f>
        <v/>
      </c>
      <c r="D162" s="25" t="str">
        <f>IF($B162="","",IFERROR(INDEX('Inventario General'!$C$5:$C$304,MATCH($B162,'Inventario General'!$A$5:$A$304,0))&amp;"","No está en el inventario"))</f>
        <v/>
      </c>
      <c r="E162" s="27"/>
      <c r="F162" s="26"/>
      <c r="G162" s="26"/>
      <c r="H162" s="26"/>
      <c r="I162" s="28"/>
      <c r="J162" s="26"/>
      <c r="K162" s="45"/>
      <c r="L162" s="26"/>
      <c r="M162" s="27"/>
      <c r="N162" s="49" t="str">
        <f t="shared" ca="1" si="4"/>
        <v/>
      </c>
      <c r="O162" s="26"/>
    </row>
    <row r="163" spans="1:15" x14ac:dyDescent="0.25">
      <c r="A163" s="26"/>
      <c r="B163" s="26"/>
      <c r="C163" s="25" t="str">
        <f>IF($B163="","",IFERROR(INDEX('Inventario General'!$B$5:$B$304,MATCH($B163,'Inventario General'!$A$5:$A$304,0))&amp;"","No está en el inventario"))</f>
        <v/>
      </c>
      <c r="D163" s="25" t="str">
        <f>IF($B163="","",IFERROR(INDEX('Inventario General'!$C$5:$C$304,MATCH($B163,'Inventario General'!$A$5:$A$304,0))&amp;"","No está en el inventario"))</f>
        <v/>
      </c>
      <c r="E163" s="27"/>
      <c r="F163" s="26"/>
      <c r="G163" s="26"/>
      <c r="H163" s="26"/>
      <c r="I163" s="28"/>
      <c r="J163" s="26"/>
      <c r="K163" s="45"/>
      <c r="L163" s="26"/>
      <c r="M163" s="27"/>
      <c r="N163" s="49" t="str">
        <f t="shared" ca="1" si="4"/>
        <v/>
      </c>
      <c r="O163" s="26"/>
    </row>
    <row r="164" spans="1:15" x14ac:dyDescent="0.25">
      <c r="A164" s="26"/>
      <c r="B164" s="26"/>
      <c r="C164" s="25" t="str">
        <f>IF($B164="","",IFERROR(INDEX('Inventario General'!$B$5:$B$304,MATCH($B164,'Inventario General'!$A$5:$A$304,0))&amp;"","No está en el inventario"))</f>
        <v/>
      </c>
      <c r="D164" s="25" t="str">
        <f>IF($B164="","",IFERROR(INDEX('Inventario General'!$C$5:$C$304,MATCH($B164,'Inventario General'!$A$5:$A$304,0))&amp;"","No está en el inventario"))</f>
        <v/>
      </c>
      <c r="E164" s="27"/>
      <c r="F164" s="26"/>
      <c r="G164" s="26"/>
      <c r="H164" s="26"/>
      <c r="I164" s="28"/>
      <c r="J164" s="26"/>
      <c r="K164" s="45"/>
      <c r="L164" s="26"/>
      <c r="M164" s="27"/>
      <c r="N164" s="49" t="str">
        <f t="shared" ca="1" si="4"/>
        <v/>
      </c>
      <c r="O164" s="26"/>
    </row>
    <row r="165" spans="1:15" x14ac:dyDescent="0.25">
      <c r="A165" s="26"/>
      <c r="B165" s="26"/>
      <c r="C165" s="25" t="str">
        <f>IF($B165="","",IFERROR(INDEX('Inventario General'!$B$5:$B$304,MATCH($B165,'Inventario General'!$A$5:$A$304,0))&amp;"","No está en el inventario"))</f>
        <v/>
      </c>
      <c r="D165" s="25" t="str">
        <f>IF($B165="","",IFERROR(INDEX('Inventario General'!$C$5:$C$304,MATCH($B165,'Inventario General'!$A$5:$A$304,0))&amp;"","No está en el inventario"))</f>
        <v/>
      </c>
      <c r="E165" s="27"/>
      <c r="F165" s="26"/>
      <c r="G165" s="26"/>
      <c r="H165" s="26"/>
      <c r="I165" s="28"/>
      <c r="J165" s="26"/>
      <c r="K165" s="45"/>
      <c r="L165" s="26"/>
      <c r="M165" s="27"/>
      <c r="N165" s="49" t="str">
        <f t="shared" ref="N165:N196" ca="1" si="5">IF(M165="","",M165-TODAY())</f>
        <v/>
      </c>
      <c r="O165" s="26"/>
    </row>
    <row r="166" spans="1:15" x14ac:dyDescent="0.25">
      <c r="A166" s="26"/>
      <c r="B166" s="26"/>
      <c r="C166" s="25" t="str">
        <f>IF($B166="","",IFERROR(INDEX('Inventario General'!$B$5:$B$304,MATCH($B166,'Inventario General'!$A$5:$A$304,0))&amp;"","No está en el inventario"))</f>
        <v/>
      </c>
      <c r="D166" s="25" t="str">
        <f>IF($B166="","",IFERROR(INDEX('Inventario General'!$C$5:$C$304,MATCH($B166,'Inventario General'!$A$5:$A$304,0))&amp;"","No está en el inventario"))</f>
        <v/>
      </c>
      <c r="E166" s="27"/>
      <c r="F166" s="26"/>
      <c r="G166" s="26"/>
      <c r="H166" s="26"/>
      <c r="I166" s="28"/>
      <c r="J166" s="26"/>
      <c r="K166" s="45"/>
      <c r="L166" s="26"/>
      <c r="M166" s="27"/>
      <c r="N166" s="49" t="str">
        <f t="shared" ca="1" si="5"/>
        <v/>
      </c>
      <c r="O166" s="26"/>
    </row>
    <row r="167" spans="1:15" x14ac:dyDescent="0.25">
      <c r="A167" s="26"/>
      <c r="B167" s="26"/>
      <c r="C167" s="25" t="str">
        <f>IF($B167="","",IFERROR(INDEX('Inventario General'!$B$5:$B$304,MATCH($B167,'Inventario General'!$A$5:$A$304,0))&amp;"","No está en el inventario"))</f>
        <v/>
      </c>
      <c r="D167" s="25" t="str">
        <f>IF($B167="","",IFERROR(INDEX('Inventario General'!$C$5:$C$304,MATCH($B167,'Inventario General'!$A$5:$A$304,0))&amp;"","No está en el inventario"))</f>
        <v/>
      </c>
      <c r="E167" s="27"/>
      <c r="F167" s="26"/>
      <c r="G167" s="26"/>
      <c r="H167" s="26"/>
      <c r="I167" s="28"/>
      <c r="J167" s="26"/>
      <c r="K167" s="45"/>
      <c r="L167" s="26"/>
      <c r="M167" s="27"/>
      <c r="N167" s="49" t="str">
        <f t="shared" ca="1" si="5"/>
        <v/>
      </c>
      <c r="O167" s="26"/>
    </row>
    <row r="168" spans="1:15" x14ac:dyDescent="0.25">
      <c r="A168" s="26"/>
      <c r="B168" s="26"/>
      <c r="C168" s="25" t="str">
        <f>IF($B168="","",IFERROR(INDEX('Inventario General'!$B$5:$B$304,MATCH($B168,'Inventario General'!$A$5:$A$304,0))&amp;"","No está en el inventario"))</f>
        <v/>
      </c>
      <c r="D168" s="25" t="str">
        <f>IF($B168="","",IFERROR(INDEX('Inventario General'!$C$5:$C$304,MATCH($B168,'Inventario General'!$A$5:$A$304,0))&amp;"","No está en el inventario"))</f>
        <v/>
      </c>
      <c r="E168" s="27"/>
      <c r="F168" s="26"/>
      <c r="G168" s="26"/>
      <c r="H168" s="26"/>
      <c r="I168" s="28"/>
      <c r="J168" s="26"/>
      <c r="K168" s="45"/>
      <c r="L168" s="26"/>
      <c r="M168" s="27"/>
      <c r="N168" s="49" t="str">
        <f t="shared" ca="1" si="5"/>
        <v/>
      </c>
      <c r="O168" s="26"/>
    </row>
    <row r="169" spans="1:15" x14ac:dyDescent="0.25">
      <c r="A169" s="26"/>
      <c r="B169" s="26"/>
      <c r="C169" s="25" t="str">
        <f>IF($B169="","",IFERROR(INDEX('Inventario General'!$B$5:$B$304,MATCH($B169,'Inventario General'!$A$5:$A$304,0))&amp;"","No está en el inventario"))</f>
        <v/>
      </c>
      <c r="D169" s="25" t="str">
        <f>IF($B169="","",IFERROR(INDEX('Inventario General'!$C$5:$C$304,MATCH($B169,'Inventario General'!$A$5:$A$304,0))&amp;"","No está en el inventario"))</f>
        <v/>
      </c>
      <c r="E169" s="27"/>
      <c r="F169" s="26"/>
      <c r="G169" s="26"/>
      <c r="H169" s="26"/>
      <c r="I169" s="28"/>
      <c r="J169" s="26"/>
      <c r="K169" s="45"/>
      <c r="L169" s="26"/>
      <c r="M169" s="27"/>
      <c r="N169" s="49" t="str">
        <f t="shared" ca="1" si="5"/>
        <v/>
      </c>
      <c r="O169" s="26"/>
    </row>
    <row r="170" spans="1:15" x14ac:dyDescent="0.25">
      <c r="A170" s="26"/>
      <c r="B170" s="26"/>
      <c r="C170" s="25" t="str">
        <f>IF($B170="","",IFERROR(INDEX('Inventario General'!$B$5:$B$304,MATCH($B170,'Inventario General'!$A$5:$A$304,0))&amp;"","No está en el inventario"))</f>
        <v/>
      </c>
      <c r="D170" s="25" t="str">
        <f>IF($B170="","",IFERROR(INDEX('Inventario General'!$C$5:$C$304,MATCH($B170,'Inventario General'!$A$5:$A$304,0))&amp;"","No está en el inventario"))</f>
        <v/>
      </c>
      <c r="E170" s="27"/>
      <c r="F170" s="26"/>
      <c r="G170" s="26"/>
      <c r="H170" s="26"/>
      <c r="I170" s="28"/>
      <c r="J170" s="26"/>
      <c r="K170" s="45"/>
      <c r="L170" s="26"/>
      <c r="M170" s="27"/>
      <c r="N170" s="49" t="str">
        <f t="shared" ca="1" si="5"/>
        <v/>
      </c>
      <c r="O170" s="26"/>
    </row>
    <row r="171" spans="1:15" x14ac:dyDescent="0.25">
      <c r="A171" s="26"/>
      <c r="B171" s="26"/>
      <c r="C171" s="25" t="str">
        <f>IF($B171="","",IFERROR(INDEX('Inventario General'!$B$5:$B$304,MATCH($B171,'Inventario General'!$A$5:$A$304,0))&amp;"","No está en el inventario"))</f>
        <v/>
      </c>
      <c r="D171" s="25" t="str">
        <f>IF($B171="","",IFERROR(INDEX('Inventario General'!$C$5:$C$304,MATCH($B171,'Inventario General'!$A$5:$A$304,0))&amp;"","No está en el inventario"))</f>
        <v/>
      </c>
      <c r="E171" s="27"/>
      <c r="F171" s="26"/>
      <c r="G171" s="26"/>
      <c r="H171" s="26"/>
      <c r="I171" s="28"/>
      <c r="J171" s="26"/>
      <c r="K171" s="45"/>
      <c r="L171" s="26"/>
      <c r="M171" s="27"/>
      <c r="N171" s="49" t="str">
        <f t="shared" ca="1" si="5"/>
        <v/>
      </c>
      <c r="O171" s="26"/>
    </row>
    <row r="172" spans="1:15" x14ac:dyDescent="0.25">
      <c r="A172" s="26"/>
      <c r="B172" s="26"/>
      <c r="C172" s="25" t="str">
        <f>IF($B172="","",IFERROR(INDEX('Inventario General'!$B$5:$B$304,MATCH($B172,'Inventario General'!$A$5:$A$304,0))&amp;"","No está en el inventario"))</f>
        <v/>
      </c>
      <c r="D172" s="25" t="str">
        <f>IF($B172="","",IFERROR(INDEX('Inventario General'!$C$5:$C$304,MATCH($B172,'Inventario General'!$A$5:$A$304,0))&amp;"","No está en el inventario"))</f>
        <v/>
      </c>
      <c r="E172" s="27"/>
      <c r="F172" s="26"/>
      <c r="G172" s="26"/>
      <c r="H172" s="26"/>
      <c r="I172" s="28"/>
      <c r="J172" s="26"/>
      <c r="K172" s="45"/>
      <c r="L172" s="26"/>
      <c r="M172" s="27"/>
      <c r="N172" s="49" t="str">
        <f t="shared" ca="1" si="5"/>
        <v/>
      </c>
      <c r="O172" s="26"/>
    </row>
    <row r="173" spans="1:15" x14ac:dyDescent="0.25">
      <c r="A173" s="26"/>
      <c r="B173" s="26"/>
      <c r="C173" s="25" t="str">
        <f>IF($B173="","",IFERROR(INDEX('Inventario General'!$B$5:$B$304,MATCH($B173,'Inventario General'!$A$5:$A$304,0))&amp;"","No está en el inventario"))</f>
        <v/>
      </c>
      <c r="D173" s="25" t="str">
        <f>IF($B173="","",IFERROR(INDEX('Inventario General'!$C$5:$C$304,MATCH($B173,'Inventario General'!$A$5:$A$304,0))&amp;"","No está en el inventario"))</f>
        <v/>
      </c>
      <c r="E173" s="27"/>
      <c r="F173" s="26"/>
      <c r="G173" s="26"/>
      <c r="H173" s="26"/>
      <c r="I173" s="28"/>
      <c r="J173" s="26"/>
      <c r="K173" s="45"/>
      <c r="L173" s="26"/>
      <c r="M173" s="27"/>
      <c r="N173" s="49" t="str">
        <f t="shared" ca="1" si="5"/>
        <v/>
      </c>
      <c r="O173" s="26"/>
    </row>
    <row r="174" spans="1:15" x14ac:dyDescent="0.25">
      <c r="A174" s="26"/>
      <c r="B174" s="26"/>
      <c r="C174" s="25" t="str">
        <f>IF($B174="","",IFERROR(INDEX('Inventario General'!$B$5:$B$304,MATCH($B174,'Inventario General'!$A$5:$A$304,0))&amp;"","No está en el inventario"))</f>
        <v/>
      </c>
      <c r="D174" s="25" t="str">
        <f>IF($B174="","",IFERROR(INDEX('Inventario General'!$C$5:$C$304,MATCH($B174,'Inventario General'!$A$5:$A$304,0))&amp;"","No está en el inventario"))</f>
        <v/>
      </c>
      <c r="E174" s="27"/>
      <c r="F174" s="26"/>
      <c r="G174" s="26"/>
      <c r="H174" s="26"/>
      <c r="I174" s="28"/>
      <c r="J174" s="26"/>
      <c r="K174" s="45"/>
      <c r="L174" s="26"/>
      <c r="M174" s="27"/>
      <c r="N174" s="49" t="str">
        <f t="shared" ca="1" si="5"/>
        <v/>
      </c>
      <c r="O174" s="26"/>
    </row>
    <row r="175" spans="1:15" x14ac:dyDescent="0.25">
      <c r="A175" s="26"/>
      <c r="B175" s="26"/>
      <c r="C175" s="25" t="str">
        <f>IF($B175="","",IFERROR(INDEX('Inventario General'!$B$5:$B$304,MATCH($B175,'Inventario General'!$A$5:$A$304,0))&amp;"","No está en el inventario"))</f>
        <v/>
      </c>
      <c r="D175" s="25" t="str">
        <f>IF($B175="","",IFERROR(INDEX('Inventario General'!$C$5:$C$304,MATCH($B175,'Inventario General'!$A$5:$A$304,0))&amp;"","No está en el inventario"))</f>
        <v/>
      </c>
      <c r="E175" s="27"/>
      <c r="F175" s="26"/>
      <c r="G175" s="26"/>
      <c r="H175" s="26"/>
      <c r="I175" s="28"/>
      <c r="J175" s="26"/>
      <c r="K175" s="45"/>
      <c r="L175" s="26"/>
      <c r="M175" s="27"/>
      <c r="N175" s="49" t="str">
        <f t="shared" ca="1" si="5"/>
        <v/>
      </c>
      <c r="O175" s="26"/>
    </row>
    <row r="176" spans="1:15" x14ac:dyDescent="0.25">
      <c r="A176" s="26"/>
      <c r="B176" s="26"/>
      <c r="C176" s="25" t="str">
        <f>IF($B176="","",IFERROR(INDEX('Inventario General'!$B$5:$B$304,MATCH($B176,'Inventario General'!$A$5:$A$304,0))&amp;"","No está en el inventario"))</f>
        <v/>
      </c>
      <c r="D176" s="25" t="str">
        <f>IF($B176="","",IFERROR(INDEX('Inventario General'!$C$5:$C$304,MATCH($B176,'Inventario General'!$A$5:$A$304,0))&amp;"","No está en el inventario"))</f>
        <v/>
      </c>
      <c r="E176" s="27"/>
      <c r="F176" s="26"/>
      <c r="G176" s="26"/>
      <c r="H176" s="26"/>
      <c r="I176" s="28"/>
      <c r="J176" s="26"/>
      <c r="K176" s="45"/>
      <c r="L176" s="26"/>
      <c r="M176" s="27"/>
      <c r="N176" s="49" t="str">
        <f t="shared" ca="1" si="5"/>
        <v/>
      </c>
      <c r="O176" s="26"/>
    </row>
    <row r="177" spans="1:15" x14ac:dyDescent="0.25">
      <c r="A177" s="26"/>
      <c r="B177" s="26"/>
      <c r="C177" s="25" t="str">
        <f>IF($B177="","",IFERROR(INDEX('Inventario General'!$B$5:$B$304,MATCH($B177,'Inventario General'!$A$5:$A$304,0))&amp;"","No está en el inventario"))</f>
        <v/>
      </c>
      <c r="D177" s="25" t="str">
        <f>IF($B177="","",IFERROR(INDEX('Inventario General'!$C$5:$C$304,MATCH($B177,'Inventario General'!$A$5:$A$304,0))&amp;"","No está en el inventario"))</f>
        <v/>
      </c>
      <c r="E177" s="27"/>
      <c r="F177" s="26"/>
      <c r="G177" s="26"/>
      <c r="H177" s="26"/>
      <c r="I177" s="28"/>
      <c r="J177" s="26"/>
      <c r="K177" s="45"/>
      <c r="L177" s="26"/>
      <c r="M177" s="27"/>
      <c r="N177" s="49" t="str">
        <f t="shared" ca="1" si="5"/>
        <v/>
      </c>
      <c r="O177" s="26"/>
    </row>
    <row r="178" spans="1:15" x14ac:dyDescent="0.25">
      <c r="A178" s="26"/>
      <c r="B178" s="26"/>
      <c r="C178" s="25" t="str">
        <f>IF($B178="","",IFERROR(INDEX('Inventario General'!$B$5:$B$304,MATCH($B178,'Inventario General'!$A$5:$A$304,0))&amp;"","No está en el inventario"))</f>
        <v/>
      </c>
      <c r="D178" s="25" t="str">
        <f>IF($B178="","",IFERROR(INDEX('Inventario General'!$C$5:$C$304,MATCH($B178,'Inventario General'!$A$5:$A$304,0))&amp;"","No está en el inventario"))</f>
        <v/>
      </c>
      <c r="E178" s="27"/>
      <c r="F178" s="26"/>
      <c r="G178" s="26"/>
      <c r="H178" s="26"/>
      <c r="I178" s="28"/>
      <c r="J178" s="26"/>
      <c r="K178" s="45"/>
      <c r="L178" s="26"/>
      <c r="M178" s="27"/>
      <c r="N178" s="49" t="str">
        <f t="shared" ca="1" si="5"/>
        <v/>
      </c>
      <c r="O178" s="26"/>
    </row>
    <row r="179" spans="1:15" x14ac:dyDescent="0.25">
      <c r="A179" s="26"/>
      <c r="B179" s="26"/>
      <c r="C179" s="25" t="str">
        <f>IF($B179="","",IFERROR(INDEX('Inventario General'!$B$5:$B$304,MATCH($B179,'Inventario General'!$A$5:$A$304,0))&amp;"","No está en el inventario"))</f>
        <v/>
      </c>
      <c r="D179" s="25" t="str">
        <f>IF($B179="","",IFERROR(INDEX('Inventario General'!$C$5:$C$304,MATCH($B179,'Inventario General'!$A$5:$A$304,0))&amp;"","No está en el inventario"))</f>
        <v/>
      </c>
      <c r="E179" s="27"/>
      <c r="F179" s="26"/>
      <c r="G179" s="26"/>
      <c r="H179" s="26"/>
      <c r="I179" s="28"/>
      <c r="J179" s="26"/>
      <c r="K179" s="45"/>
      <c r="L179" s="26"/>
      <c r="M179" s="27"/>
      <c r="N179" s="49" t="str">
        <f t="shared" ca="1" si="5"/>
        <v/>
      </c>
      <c r="O179" s="26"/>
    </row>
    <row r="180" spans="1:15" x14ac:dyDescent="0.25">
      <c r="A180" s="26"/>
      <c r="B180" s="26"/>
      <c r="C180" s="25" t="str">
        <f>IF($B180="","",IFERROR(INDEX('Inventario General'!$B$5:$B$304,MATCH($B180,'Inventario General'!$A$5:$A$304,0))&amp;"","No está en el inventario"))</f>
        <v/>
      </c>
      <c r="D180" s="25" t="str">
        <f>IF($B180="","",IFERROR(INDEX('Inventario General'!$C$5:$C$304,MATCH($B180,'Inventario General'!$A$5:$A$304,0))&amp;"","No está en el inventario"))</f>
        <v/>
      </c>
      <c r="E180" s="27"/>
      <c r="F180" s="26"/>
      <c r="G180" s="26"/>
      <c r="H180" s="26"/>
      <c r="I180" s="28"/>
      <c r="J180" s="26"/>
      <c r="K180" s="45"/>
      <c r="L180" s="26"/>
      <c r="M180" s="27"/>
      <c r="N180" s="49" t="str">
        <f t="shared" ca="1" si="5"/>
        <v/>
      </c>
      <c r="O180" s="26"/>
    </row>
    <row r="181" spans="1:15" x14ac:dyDescent="0.25">
      <c r="A181" s="26"/>
      <c r="B181" s="26"/>
      <c r="C181" s="25" t="str">
        <f>IF($B181="","",IFERROR(INDEX('Inventario General'!$B$5:$B$304,MATCH($B181,'Inventario General'!$A$5:$A$304,0))&amp;"","No está en el inventario"))</f>
        <v/>
      </c>
      <c r="D181" s="25" t="str">
        <f>IF($B181="","",IFERROR(INDEX('Inventario General'!$C$5:$C$304,MATCH($B181,'Inventario General'!$A$5:$A$304,0))&amp;"","No está en el inventario"))</f>
        <v/>
      </c>
      <c r="E181" s="27"/>
      <c r="F181" s="26"/>
      <c r="G181" s="26"/>
      <c r="H181" s="26"/>
      <c r="I181" s="28"/>
      <c r="J181" s="26"/>
      <c r="K181" s="45"/>
      <c r="L181" s="26"/>
      <c r="M181" s="27"/>
      <c r="N181" s="49" t="str">
        <f t="shared" ca="1" si="5"/>
        <v/>
      </c>
      <c r="O181" s="26"/>
    </row>
    <row r="182" spans="1:15" x14ac:dyDescent="0.25">
      <c r="A182" s="26"/>
      <c r="B182" s="26"/>
      <c r="C182" s="25" t="str">
        <f>IF($B182="","",IFERROR(INDEX('Inventario General'!$B$5:$B$304,MATCH($B182,'Inventario General'!$A$5:$A$304,0))&amp;"","No está en el inventario"))</f>
        <v/>
      </c>
      <c r="D182" s="25" t="str">
        <f>IF($B182="","",IFERROR(INDEX('Inventario General'!$C$5:$C$304,MATCH($B182,'Inventario General'!$A$5:$A$304,0))&amp;"","No está en el inventario"))</f>
        <v/>
      </c>
      <c r="E182" s="27"/>
      <c r="F182" s="26"/>
      <c r="G182" s="26"/>
      <c r="H182" s="26"/>
      <c r="I182" s="28"/>
      <c r="J182" s="26"/>
      <c r="K182" s="45"/>
      <c r="L182" s="26"/>
      <c r="M182" s="27"/>
      <c r="N182" s="49" t="str">
        <f t="shared" ca="1" si="5"/>
        <v/>
      </c>
      <c r="O182" s="26"/>
    </row>
    <row r="183" spans="1:15" x14ac:dyDescent="0.25">
      <c r="A183" s="26"/>
      <c r="B183" s="26"/>
      <c r="C183" s="25" t="str">
        <f>IF($B183="","",IFERROR(INDEX('Inventario General'!$B$5:$B$304,MATCH($B183,'Inventario General'!$A$5:$A$304,0))&amp;"","No está en el inventario"))</f>
        <v/>
      </c>
      <c r="D183" s="25" t="str">
        <f>IF($B183="","",IFERROR(INDEX('Inventario General'!$C$5:$C$304,MATCH($B183,'Inventario General'!$A$5:$A$304,0))&amp;"","No está en el inventario"))</f>
        <v/>
      </c>
      <c r="E183" s="27"/>
      <c r="F183" s="26"/>
      <c r="G183" s="26"/>
      <c r="H183" s="26"/>
      <c r="I183" s="28"/>
      <c r="J183" s="26"/>
      <c r="K183" s="45"/>
      <c r="L183" s="26"/>
      <c r="M183" s="27"/>
      <c r="N183" s="49" t="str">
        <f t="shared" ca="1" si="5"/>
        <v/>
      </c>
      <c r="O183" s="26"/>
    </row>
    <row r="184" spans="1:15" x14ac:dyDescent="0.25">
      <c r="A184" s="26"/>
      <c r="B184" s="26"/>
      <c r="C184" s="25" t="str">
        <f>IF($B184="","",IFERROR(INDEX('Inventario General'!$B$5:$B$304,MATCH($B184,'Inventario General'!$A$5:$A$304,0))&amp;"","No está en el inventario"))</f>
        <v/>
      </c>
      <c r="D184" s="25" t="str">
        <f>IF($B184="","",IFERROR(INDEX('Inventario General'!$C$5:$C$304,MATCH($B184,'Inventario General'!$A$5:$A$304,0))&amp;"","No está en el inventario"))</f>
        <v/>
      </c>
      <c r="E184" s="27"/>
      <c r="F184" s="26"/>
      <c r="G184" s="26"/>
      <c r="H184" s="26"/>
      <c r="I184" s="28"/>
      <c r="J184" s="26"/>
      <c r="K184" s="45"/>
      <c r="L184" s="26"/>
      <c r="M184" s="27"/>
      <c r="N184" s="49" t="str">
        <f t="shared" ca="1" si="5"/>
        <v/>
      </c>
      <c r="O184" s="26"/>
    </row>
    <row r="185" spans="1:15" x14ac:dyDescent="0.25">
      <c r="A185" s="26"/>
      <c r="B185" s="26"/>
      <c r="C185" s="25" t="str">
        <f>IF($B185="","",IFERROR(INDEX('Inventario General'!$B$5:$B$304,MATCH($B185,'Inventario General'!$A$5:$A$304,0))&amp;"","No está en el inventario"))</f>
        <v/>
      </c>
      <c r="D185" s="25" t="str">
        <f>IF($B185="","",IFERROR(INDEX('Inventario General'!$C$5:$C$304,MATCH($B185,'Inventario General'!$A$5:$A$304,0))&amp;"","No está en el inventario"))</f>
        <v/>
      </c>
      <c r="E185" s="27"/>
      <c r="F185" s="26"/>
      <c r="G185" s="26"/>
      <c r="H185" s="26"/>
      <c r="I185" s="28"/>
      <c r="J185" s="26"/>
      <c r="K185" s="45"/>
      <c r="L185" s="26"/>
      <c r="M185" s="27"/>
      <c r="N185" s="49" t="str">
        <f t="shared" ca="1" si="5"/>
        <v/>
      </c>
      <c r="O185" s="26"/>
    </row>
    <row r="186" spans="1:15" x14ac:dyDescent="0.25">
      <c r="A186" s="26"/>
      <c r="B186" s="26"/>
      <c r="C186" s="25" t="str">
        <f>IF($B186="","",IFERROR(INDEX('Inventario General'!$B$5:$B$304,MATCH($B186,'Inventario General'!$A$5:$A$304,0))&amp;"","No está en el inventario"))</f>
        <v/>
      </c>
      <c r="D186" s="25" t="str">
        <f>IF($B186="","",IFERROR(INDEX('Inventario General'!$C$5:$C$304,MATCH($B186,'Inventario General'!$A$5:$A$304,0))&amp;"","No está en el inventario"))</f>
        <v/>
      </c>
      <c r="E186" s="27"/>
      <c r="F186" s="26"/>
      <c r="G186" s="26"/>
      <c r="H186" s="26"/>
      <c r="I186" s="28"/>
      <c r="J186" s="26"/>
      <c r="K186" s="45"/>
      <c r="L186" s="26"/>
      <c r="M186" s="27"/>
      <c r="N186" s="49" t="str">
        <f t="shared" ca="1" si="5"/>
        <v/>
      </c>
      <c r="O186" s="26"/>
    </row>
    <row r="187" spans="1:15" x14ac:dyDescent="0.25">
      <c r="A187" s="26"/>
      <c r="B187" s="26"/>
      <c r="C187" s="25" t="str">
        <f>IF($B187="","",IFERROR(INDEX('Inventario General'!$B$5:$B$304,MATCH($B187,'Inventario General'!$A$5:$A$304,0))&amp;"","No está en el inventario"))</f>
        <v/>
      </c>
      <c r="D187" s="25" t="str">
        <f>IF($B187="","",IFERROR(INDEX('Inventario General'!$C$5:$C$304,MATCH($B187,'Inventario General'!$A$5:$A$304,0))&amp;"","No está en el inventario"))</f>
        <v/>
      </c>
      <c r="E187" s="27"/>
      <c r="F187" s="26"/>
      <c r="G187" s="26"/>
      <c r="H187" s="26"/>
      <c r="I187" s="28"/>
      <c r="J187" s="26"/>
      <c r="K187" s="45"/>
      <c r="L187" s="26"/>
      <c r="M187" s="27"/>
      <c r="N187" s="49" t="str">
        <f t="shared" ca="1" si="5"/>
        <v/>
      </c>
      <c r="O187" s="26"/>
    </row>
    <row r="188" spans="1:15" x14ac:dyDescent="0.25">
      <c r="A188" s="26"/>
      <c r="B188" s="26"/>
      <c r="C188" s="25" t="str">
        <f>IF($B188="","",IFERROR(INDEX('Inventario General'!$B$5:$B$304,MATCH($B188,'Inventario General'!$A$5:$A$304,0))&amp;"","No está en el inventario"))</f>
        <v/>
      </c>
      <c r="D188" s="25" t="str">
        <f>IF($B188="","",IFERROR(INDEX('Inventario General'!$C$5:$C$304,MATCH($B188,'Inventario General'!$A$5:$A$304,0))&amp;"","No está en el inventario"))</f>
        <v/>
      </c>
      <c r="E188" s="27"/>
      <c r="F188" s="26"/>
      <c r="G188" s="26"/>
      <c r="H188" s="26"/>
      <c r="I188" s="28"/>
      <c r="J188" s="26"/>
      <c r="K188" s="45"/>
      <c r="L188" s="26"/>
      <c r="M188" s="27"/>
      <c r="N188" s="49" t="str">
        <f t="shared" ca="1" si="5"/>
        <v/>
      </c>
      <c r="O188" s="26"/>
    </row>
    <row r="189" spans="1:15" x14ac:dyDescent="0.25">
      <c r="A189" s="26"/>
      <c r="B189" s="26"/>
      <c r="C189" s="25" t="str">
        <f>IF($B189="","",IFERROR(INDEX('Inventario General'!$B$5:$B$304,MATCH($B189,'Inventario General'!$A$5:$A$304,0))&amp;"","No está en el inventario"))</f>
        <v/>
      </c>
      <c r="D189" s="25" t="str">
        <f>IF($B189="","",IFERROR(INDEX('Inventario General'!$C$5:$C$304,MATCH($B189,'Inventario General'!$A$5:$A$304,0))&amp;"","No está en el inventario"))</f>
        <v/>
      </c>
      <c r="E189" s="27"/>
      <c r="F189" s="26"/>
      <c r="G189" s="26"/>
      <c r="H189" s="26"/>
      <c r="I189" s="28"/>
      <c r="J189" s="26"/>
      <c r="K189" s="45"/>
      <c r="L189" s="26"/>
      <c r="M189" s="27"/>
      <c r="N189" s="49" t="str">
        <f t="shared" ca="1" si="5"/>
        <v/>
      </c>
      <c r="O189" s="26"/>
    </row>
    <row r="190" spans="1:15" x14ac:dyDescent="0.25">
      <c r="A190" s="26"/>
      <c r="B190" s="26"/>
      <c r="C190" s="25" t="str">
        <f>IF($B190="","",IFERROR(INDEX('Inventario General'!$B$5:$B$304,MATCH($B190,'Inventario General'!$A$5:$A$304,0))&amp;"","No está en el inventario"))</f>
        <v/>
      </c>
      <c r="D190" s="25" t="str">
        <f>IF($B190="","",IFERROR(INDEX('Inventario General'!$C$5:$C$304,MATCH($B190,'Inventario General'!$A$5:$A$304,0))&amp;"","No está en el inventario"))</f>
        <v/>
      </c>
      <c r="E190" s="27"/>
      <c r="F190" s="26"/>
      <c r="G190" s="26"/>
      <c r="H190" s="26"/>
      <c r="I190" s="28"/>
      <c r="J190" s="26"/>
      <c r="K190" s="45"/>
      <c r="L190" s="26"/>
      <c r="M190" s="27"/>
      <c r="N190" s="49" t="str">
        <f t="shared" ca="1" si="5"/>
        <v/>
      </c>
      <c r="O190" s="26"/>
    </row>
    <row r="191" spans="1:15" x14ac:dyDescent="0.25">
      <c r="A191" s="26"/>
      <c r="B191" s="26"/>
      <c r="C191" s="25" t="str">
        <f>IF($B191="","",IFERROR(INDEX('Inventario General'!$B$5:$B$304,MATCH($B191,'Inventario General'!$A$5:$A$304,0))&amp;"","No está en el inventario"))</f>
        <v/>
      </c>
      <c r="D191" s="25" t="str">
        <f>IF($B191="","",IFERROR(INDEX('Inventario General'!$C$5:$C$304,MATCH($B191,'Inventario General'!$A$5:$A$304,0))&amp;"","No está en el inventario"))</f>
        <v/>
      </c>
      <c r="E191" s="27"/>
      <c r="F191" s="26"/>
      <c r="G191" s="26"/>
      <c r="H191" s="26"/>
      <c r="I191" s="28"/>
      <c r="J191" s="26"/>
      <c r="K191" s="45"/>
      <c r="L191" s="26"/>
      <c r="M191" s="27"/>
      <c r="N191" s="49" t="str">
        <f t="shared" ca="1" si="5"/>
        <v/>
      </c>
      <c r="O191" s="26"/>
    </row>
    <row r="192" spans="1:15" x14ac:dyDescent="0.25">
      <c r="A192" s="26"/>
      <c r="B192" s="26"/>
      <c r="C192" s="25" t="str">
        <f>IF($B192="","",IFERROR(INDEX('Inventario General'!$B$5:$B$304,MATCH($B192,'Inventario General'!$A$5:$A$304,0))&amp;"","No está en el inventario"))</f>
        <v/>
      </c>
      <c r="D192" s="25" t="str">
        <f>IF($B192="","",IFERROR(INDEX('Inventario General'!$C$5:$C$304,MATCH($B192,'Inventario General'!$A$5:$A$304,0))&amp;"","No está en el inventario"))</f>
        <v/>
      </c>
      <c r="E192" s="27"/>
      <c r="F192" s="26"/>
      <c r="G192" s="26"/>
      <c r="H192" s="26"/>
      <c r="I192" s="28"/>
      <c r="J192" s="26"/>
      <c r="K192" s="45"/>
      <c r="L192" s="26"/>
      <c r="M192" s="27"/>
      <c r="N192" s="49" t="str">
        <f t="shared" ca="1" si="5"/>
        <v/>
      </c>
      <c r="O192" s="26"/>
    </row>
    <row r="193" spans="1:15" x14ac:dyDescent="0.25">
      <c r="A193" s="26"/>
      <c r="B193" s="26"/>
      <c r="C193" s="25" t="str">
        <f>IF($B193="","",IFERROR(INDEX('Inventario General'!$B$5:$B$304,MATCH($B193,'Inventario General'!$A$5:$A$304,0))&amp;"","No está en el inventario"))</f>
        <v/>
      </c>
      <c r="D193" s="25" t="str">
        <f>IF($B193="","",IFERROR(INDEX('Inventario General'!$C$5:$C$304,MATCH($B193,'Inventario General'!$A$5:$A$304,0))&amp;"","No está en el inventario"))</f>
        <v/>
      </c>
      <c r="E193" s="27"/>
      <c r="F193" s="26"/>
      <c r="G193" s="26"/>
      <c r="H193" s="26"/>
      <c r="I193" s="28"/>
      <c r="J193" s="26"/>
      <c r="K193" s="45"/>
      <c r="L193" s="26"/>
      <c r="M193" s="27"/>
      <c r="N193" s="49" t="str">
        <f t="shared" ca="1" si="5"/>
        <v/>
      </c>
      <c r="O193" s="26"/>
    </row>
    <row r="194" spans="1:15" x14ac:dyDescent="0.25">
      <c r="A194" s="26"/>
      <c r="B194" s="26"/>
      <c r="C194" s="25" t="str">
        <f>IF($B194="","",IFERROR(INDEX('Inventario General'!$B$5:$B$304,MATCH($B194,'Inventario General'!$A$5:$A$304,0))&amp;"","No está en el inventario"))</f>
        <v/>
      </c>
      <c r="D194" s="25" t="str">
        <f>IF($B194="","",IFERROR(INDEX('Inventario General'!$C$5:$C$304,MATCH($B194,'Inventario General'!$A$5:$A$304,0))&amp;"","No está en el inventario"))</f>
        <v/>
      </c>
      <c r="E194" s="27"/>
      <c r="F194" s="26"/>
      <c r="G194" s="26"/>
      <c r="H194" s="26"/>
      <c r="I194" s="28"/>
      <c r="J194" s="26"/>
      <c r="K194" s="45"/>
      <c r="L194" s="26"/>
      <c r="M194" s="27"/>
      <c r="N194" s="49" t="str">
        <f t="shared" ca="1" si="5"/>
        <v/>
      </c>
      <c r="O194" s="26"/>
    </row>
    <row r="195" spans="1:15" x14ac:dyDescent="0.25">
      <c r="A195" s="26"/>
      <c r="B195" s="26"/>
      <c r="C195" s="25" t="str">
        <f>IF($B195="","",IFERROR(INDEX('Inventario General'!$B$5:$B$304,MATCH($B195,'Inventario General'!$A$5:$A$304,0))&amp;"","No está en el inventario"))</f>
        <v/>
      </c>
      <c r="D195" s="25" t="str">
        <f>IF($B195="","",IFERROR(INDEX('Inventario General'!$C$5:$C$304,MATCH($B195,'Inventario General'!$A$5:$A$304,0))&amp;"","No está en el inventario"))</f>
        <v/>
      </c>
      <c r="E195" s="27"/>
      <c r="F195" s="26"/>
      <c r="G195" s="26"/>
      <c r="H195" s="26"/>
      <c r="I195" s="28"/>
      <c r="J195" s="26"/>
      <c r="K195" s="45"/>
      <c r="L195" s="26"/>
      <c r="M195" s="27"/>
      <c r="N195" s="49" t="str">
        <f t="shared" ca="1" si="5"/>
        <v/>
      </c>
      <c r="O195" s="26"/>
    </row>
    <row r="196" spans="1:15" x14ac:dyDescent="0.25">
      <c r="A196" s="26"/>
      <c r="B196" s="26"/>
      <c r="C196" s="25" t="str">
        <f>IF($B196="","",IFERROR(INDEX('Inventario General'!$B$5:$B$304,MATCH($B196,'Inventario General'!$A$5:$A$304,0))&amp;"","No está en el inventario"))</f>
        <v/>
      </c>
      <c r="D196" s="25" t="str">
        <f>IF($B196="","",IFERROR(INDEX('Inventario General'!$C$5:$C$304,MATCH($B196,'Inventario General'!$A$5:$A$304,0))&amp;"","No está en el inventario"))</f>
        <v/>
      </c>
      <c r="E196" s="27"/>
      <c r="F196" s="26"/>
      <c r="G196" s="26"/>
      <c r="H196" s="26"/>
      <c r="I196" s="28"/>
      <c r="J196" s="26"/>
      <c r="K196" s="45"/>
      <c r="L196" s="26"/>
      <c r="M196" s="27"/>
      <c r="N196" s="49" t="str">
        <f t="shared" ca="1" si="5"/>
        <v/>
      </c>
      <c r="O196" s="26"/>
    </row>
    <row r="197" spans="1:15" x14ac:dyDescent="0.25">
      <c r="A197" s="26"/>
      <c r="B197" s="26"/>
      <c r="C197" s="25" t="str">
        <f>IF($B197="","",IFERROR(INDEX('Inventario General'!$B$5:$B$304,MATCH($B197,'Inventario General'!$A$5:$A$304,0))&amp;"","No está en el inventario"))</f>
        <v/>
      </c>
      <c r="D197" s="25" t="str">
        <f>IF($B197="","",IFERROR(INDEX('Inventario General'!$C$5:$C$304,MATCH($B197,'Inventario General'!$A$5:$A$304,0))&amp;"","No está en el inventario"))</f>
        <v/>
      </c>
      <c r="E197" s="27"/>
      <c r="F197" s="26"/>
      <c r="G197" s="26"/>
      <c r="H197" s="26"/>
      <c r="I197" s="28"/>
      <c r="J197" s="26"/>
      <c r="K197" s="45"/>
      <c r="L197" s="26"/>
      <c r="M197" s="27"/>
      <c r="N197" s="49" t="str">
        <f t="shared" ref="N197:N204" ca="1" si="6">IF(M197="","",M197-TODAY())</f>
        <v/>
      </c>
      <c r="O197" s="26"/>
    </row>
    <row r="198" spans="1:15" x14ac:dyDescent="0.25">
      <c r="A198" s="26"/>
      <c r="B198" s="26"/>
      <c r="C198" s="25" t="str">
        <f>IF($B198="","",IFERROR(INDEX('Inventario General'!$B$5:$B$304,MATCH($B198,'Inventario General'!$A$5:$A$304,0))&amp;"","No está en el inventario"))</f>
        <v/>
      </c>
      <c r="D198" s="25" t="str">
        <f>IF($B198="","",IFERROR(INDEX('Inventario General'!$C$5:$C$304,MATCH($B198,'Inventario General'!$A$5:$A$304,0))&amp;"","No está en el inventario"))</f>
        <v/>
      </c>
      <c r="E198" s="27"/>
      <c r="F198" s="26"/>
      <c r="G198" s="26"/>
      <c r="H198" s="26"/>
      <c r="I198" s="28"/>
      <c r="J198" s="26"/>
      <c r="K198" s="45"/>
      <c r="L198" s="26"/>
      <c r="M198" s="27"/>
      <c r="N198" s="49" t="str">
        <f t="shared" ca="1" si="6"/>
        <v/>
      </c>
      <c r="O198" s="26"/>
    </row>
    <row r="199" spans="1:15" x14ac:dyDescent="0.25">
      <c r="A199" s="26"/>
      <c r="B199" s="26"/>
      <c r="C199" s="25" t="str">
        <f>IF($B199="","",IFERROR(INDEX('Inventario General'!$B$5:$B$304,MATCH($B199,'Inventario General'!$A$5:$A$304,0))&amp;"","No está en el inventario"))</f>
        <v/>
      </c>
      <c r="D199" s="25" t="str">
        <f>IF($B199="","",IFERROR(INDEX('Inventario General'!$C$5:$C$304,MATCH($B199,'Inventario General'!$A$5:$A$304,0))&amp;"","No está en el inventario"))</f>
        <v/>
      </c>
      <c r="E199" s="27"/>
      <c r="F199" s="26"/>
      <c r="G199" s="26"/>
      <c r="H199" s="26"/>
      <c r="I199" s="28"/>
      <c r="J199" s="26"/>
      <c r="K199" s="45"/>
      <c r="L199" s="26"/>
      <c r="M199" s="27"/>
      <c r="N199" s="49" t="str">
        <f t="shared" ca="1" si="6"/>
        <v/>
      </c>
      <c r="O199" s="26"/>
    </row>
    <row r="200" spans="1:15" x14ac:dyDescent="0.25">
      <c r="A200" s="26"/>
      <c r="B200" s="26"/>
      <c r="C200" s="25" t="str">
        <f>IF($B200="","",IFERROR(INDEX('Inventario General'!$B$5:$B$304,MATCH($B200,'Inventario General'!$A$5:$A$304,0))&amp;"","No está en el inventario"))</f>
        <v/>
      </c>
      <c r="D200" s="25" t="str">
        <f>IF($B200="","",IFERROR(INDEX('Inventario General'!$C$5:$C$304,MATCH($B200,'Inventario General'!$A$5:$A$304,0))&amp;"","No está en el inventario"))</f>
        <v/>
      </c>
      <c r="E200" s="27"/>
      <c r="F200" s="26"/>
      <c r="G200" s="26"/>
      <c r="H200" s="26"/>
      <c r="I200" s="28"/>
      <c r="J200" s="26"/>
      <c r="K200" s="45"/>
      <c r="L200" s="26"/>
      <c r="M200" s="27"/>
      <c r="N200" s="49" t="str">
        <f t="shared" ca="1" si="6"/>
        <v/>
      </c>
      <c r="O200" s="26"/>
    </row>
    <row r="201" spans="1:15" x14ac:dyDescent="0.25">
      <c r="A201" s="26"/>
      <c r="B201" s="26"/>
      <c r="C201" s="25" t="str">
        <f>IF($B201="","",IFERROR(INDEX('Inventario General'!$B$5:$B$304,MATCH($B201,'Inventario General'!$A$5:$A$304,0))&amp;"","No está en el inventario"))</f>
        <v/>
      </c>
      <c r="D201" s="25" t="str">
        <f>IF($B201="","",IFERROR(INDEX('Inventario General'!$C$5:$C$304,MATCH($B201,'Inventario General'!$A$5:$A$304,0))&amp;"","No está en el inventario"))</f>
        <v/>
      </c>
      <c r="E201" s="27"/>
      <c r="F201" s="26"/>
      <c r="G201" s="26"/>
      <c r="H201" s="26"/>
      <c r="I201" s="28"/>
      <c r="J201" s="26"/>
      <c r="K201" s="45"/>
      <c r="L201" s="26"/>
      <c r="M201" s="27"/>
      <c r="N201" s="49" t="str">
        <f t="shared" ca="1" si="6"/>
        <v/>
      </c>
      <c r="O201" s="26"/>
    </row>
    <row r="202" spans="1:15" x14ac:dyDescent="0.25">
      <c r="A202" s="26"/>
      <c r="B202" s="26"/>
      <c r="C202" s="25" t="str">
        <f>IF($B202="","",IFERROR(INDEX('Inventario General'!$B$5:$B$304,MATCH($B202,'Inventario General'!$A$5:$A$304,0))&amp;"","No está en el inventario"))</f>
        <v/>
      </c>
      <c r="D202" s="25" t="str">
        <f>IF($B202="","",IFERROR(INDEX('Inventario General'!$C$5:$C$304,MATCH($B202,'Inventario General'!$A$5:$A$304,0))&amp;"","No está en el inventario"))</f>
        <v/>
      </c>
      <c r="E202" s="27"/>
      <c r="F202" s="26"/>
      <c r="G202" s="26"/>
      <c r="H202" s="26"/>
      <c r="I202" s="28"/>
      <c r="J202" s="26"/>
      <c r="K202" s="45"/>
      <c r="L202" s="26"/>
      <c r="M202" s="27"/>
      <c r="N202" s="49" t="str">
        <f t="shared" ca="1" si="6"/>
        <v/>
      </c>
      <c r="O202" s="26"/>
    </row>
    <row r="203" spans="1:15" x14ac:dyDescent="0.25">
      <c r="A203" s="26"/>
      <c r="B203" s="26"/>
      <c r="C203" s="25" t="str">
        <f>IF($B203="","",IFERROR(INDEX('Inventario General'!$B$5:$B$304,MATCH($B203,'Inventario General'!$A$5:$A$304,0))&amp;"","No está en el inventario"))</f>
        <v/>
      </c>
      <c r="D203" s="25" t="str">
        <f>IF($B203="","",IFERROR(INDEX('Inventario General'!$C$5:$C$304,MATCH($B203,'Inventario General'!$A$5:$A$304,0))&amp;"","No está en el inventario"))</f>
        <v/>
      </c>
      <c r="E203" s="27"/>
      <c r="F203" s="26"/>
      <c r="G203" s="26"/>
      <c r="H203" s="26"/>
      <c r="I203" s="28"/>
      <c r="J203" s="26"/>
      <c r="K203" s="45"/>
      <c r="L203" s="26"/>
      <c r="M203" s="27"/>
      <c r="N203" s="49" t="str">
        <f t="shared" ca="1" si="6"/>
        <v/>
      </c>
      <c r="O203" s="26"/>
    </row>
    <row r="204" spans="1:15" x14ac:dyDescent="0.25">
      <c r="A204" s="26"/>
      <c r="B204" s="26"/>
      <c r="C204" s="25" t="str">
        <f>IF($B204="","",IFERROR(INDEX('Inventario General'!$B$5:$B$304,MATCH($B204,'Inventario General'!$A$5:$A$304,0))&amp;"","No está en el inventario"))</f>
        <v/>
      </c>
      <c r="D204" s="25" t="str">
        <f>IF($B204="","",IFERROR(INDEX('Inventario General'!$C$5:$C$304,MATCH($B204,'Inventario General'!$A$5:$A$304,0))&amp;"","No está en el inventario"))</f>
        <v/>
      </c>
      <c r="E204" s="27"/>
      <c r="F204" s="26"/>
      <c r="G204" s="26"/>
      <c r="H204" s="26"/>
      <c r="I204" s="28"/>
      <c r="J204" s="26"/>
      <c r="K204" s="45"/>
      <c r="L204" s="26"/>
      <c r="M204" s="27"/>
      <c r="N204" s="49" t="str">
        <f t="shared" ca="1" si="6"/>
        <v/>
      </c>
      <c r="O204" s="26"/>
    </row>
  </sheetData>
  <autoFilter ref="A4:O204" xr:uid="{00000000-0009-0000-0000-000009000000}"/>
  <conditionalFormatting sqref="L5:L204">
    <cfRule type="cellIs" dxfId="4" priority="3" operator="equal">
      <formula>"Pendiente"</formula>
    </cfRule>
    <cfRule type="cellIs" dxfId="3" priority="4" operator="equal">
      <formula>"Cerrado"</formula>
    </cfRule>
  </conditionalFormatting>
  <conditionalFormatting sqref="N5:N204">
    <cfRule type="cellIs" dxfId="2" priority="2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Código no encontrado" error="El código debe existir primero en la hoja 'Inventario General'." xr:uid="{00000000-0002-0000-0900-000000000000}">
          <x14:formula1>
            <xm:f>'Inventario General'!$A$5:$A$304</xm:f>
          </x14:formula1>
          <x14:formula2>
            <xm:f>0</xm:f>
          </x14:formula2>
          <xm:sqref>B5:B204</xm:sqref>
        </x14:dataValidation>
        <x14:dataValidation type="list" allowBlank="1" showErrorMessage="1" errorTitle="Valor no válido" error="Elija un valor de la lista. Las listas se editan en la hoja 'Listas'." xr:uid="{00000000-0002-0000-0900-000001000000}">
          <x14:formula1>
            <xm:f>OFFSET(Listas!$I$2,0,0,MAX(1,COUNTA(Listas!$I$2:$I$60)),1)</xm:f>
          </x14:formula1>
          <x14:formula2>
            <xm:f>0</xm:f>
          </x14:formula2>
          <xm:sqref>F5:F204</xm:sqref>
        </x14:dataValidation>
        <x14:dataValidation type="list" allowBlank="1" showErrorMessage="1" errorTitle="Valor no válido" error="Elija un valor de la lista. Las listas se editan en la hoja 'Listas'." xr:uid="{00000000-0002-0000-0900-000002000000}">
          <x14:formula1>
            <xm:f>OFFSET(Listas!$J$2,0,0,MAX(1,COUNTA(Listas!$J$2:$J$60)),1)</xm:f>
          </x14:formula1>
          <x14:formula2>
            <xm:f>0</xm:f>
          </x14:formula2>
          <xm:sqref>L5:L204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  <pageSetUpPr fitToPage="1"/>
  </sheetPr>
  <dimension ref="A1:K20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2" width="18" customWidth="1"/>
    <col min="3" max="3" width="26" customWidth="1"/>
    <col min="4" max="4" width="12" customWidth="1"/>
    <col min="5" max="5" width="24" customWidth="1"/>
    <col min="6" max="6" width="26" customWidth="1"/>
    <col min="7" max="8" width="13" customWidth="1"/>
    <col min="9" max="9" width="20" customWidth="1"/>
    <col min="10" max="10" width="14" customWidth="1"/>
    <col min="11" max="11" width="30" customWidth="1"/>
  </cols>
  <sheetData>
    <row r="1" spans="1:11" ht="18" x14ac:dyDescent="0.25">
      <c r="A1" s="18" t="s">
        <v>309</v>
      </c>
    </row>
    <row r="2" spans="1:11" x14ac:dyDescent="0.25">
      <c r="A2" s="11" t="s">
        <v>310</v>
      </c>
    </row>
    <row r="4" spans="1:11" ht="48" customHeight="1" x14ac:dyDescent="0.25">
      <c r="A4" s="12" t="s">
        <v>294</v>
      </c>
      <c r="B4" s="19" t="s">
        <v>78</v>
      </c>
      <c r="C4" s="12" t="s">
        <v>311</v>
      </c>
      <c r="D4" s="12" t="s">
        <v>312</v>
      </c>
      <c r="E4" s="12" t="s">
        <v>313</v>
      </c>
      <c r="F4" s="12" t="s">
        <v>83</v>
      </c>
      <c r="G4" s="12" t="s">
        <v>314</v>
      </c>
      <c r="H4" s="12" t="s">
        <v>315</v>
      </c>
      <c r="I4" s="12" t="s">
        <v>316</v>
      </c>
      <c r="J4" s="19" t="s">
        <v>317</v>
      </c>
      <c r="K4" s="12" t="s">
        <v>100</v>
      </c>
    </row>
    <row r="5" spans="1:11" x14ac:dyDescent="0.25">
      <c r="A5" s="20" t="s">
        <v>101</v>
      </c>
      <c r="B5" s="25" t="str">
        <f>IF($A5="","",IFERROR(INDEX('Inventario General'!$B$5:$B$304,MATCH($A5,'Inventario General'!$A$5:$A$304,0))&amp;"","No está en el inventario"))</f>
        <v>Laptop</v>
      </c>
      <c r="C5" s="20" t="s">
        <v>109</v>
      </c>
      <c r="D5" s="50" t="s">
        <v>318</v>
      </c>
      <c r="E5" s="20" t="s">
        <v>319</v>
      </c>
      <c r="F5" s="20" t="s">
        <v>107</v>
      </c>
      <c r="G5" s="21">
        <v>45005</v>
      </c>
      <c r="H5" s="27"/>
      <c r="I5" s="20" t="s">
        <v>320</v>
      </c>
      <c r="J5" s="25" t="str">
        <f t="shared" ref="J5:J36" si="0">IF(G5="","",IF(H5="","Vigente","Devuelto"))</f>
        <v>Vigente</v>
      </c>
      <c r="K5" s="20" t="s">
        <v>321</v>
      </c>
    </row>
    <row r="6" spans="1:11" x14ac:dyDescent="0.25">
      <c r="A6" s="26"/>
      <c r="B6" s="25" t="str">
        <f>IF($A6="","",IFERROR(INDEX('Inventario General'!$B$5:$B$304,MATCH($A6,'Inventario General'!$A$5:$A$304,0))&amp;"","No está en el inventario"))</f>
        <v/>
      </c>
      <c r="C6" s="26"/>
      <c r="D6" s="51"/>
      <c r="E6" s="26"/>
      <c r="F6" s="26"/>
      <c r="G6" s="27"/>
      <c r="H6" s="27"/>
      <c r="I6" s="26"/>
      <c r="J6" s="25" t="str">
        <f t="shared" si="0"/>
        <v/>
      </c>
      <c r="K6" s="26"/>
    </row>
    <row r="7" spans="1:11" x14ac:dyDescent="0.25">
      <c r="A7" s="26"/>
      <c r="B7" s="25" t="str">
        <f>IF($A7="","",IFERROR(INDEX('Inventario General'!$B$5:$B$304,MATCH($A7,'Inventario General'!$A$5:$A$304,0))&amp;"","No está en el inventario"))</f>
        <v/>
      </c>
      <c r="C7" s="26"/>
      <c r="D7" s="51"/>
      <c r="E7" s="26"/>
      <c r="F7" s="26"/>
      <c r="G7" s="27"/>
      <c r="H7" s="27"/>
      <c r="I7" s="26"/>
      <c r="J7" s="25" t="str">
        <f t="shared" si="0"/>
        <v/>
      </c>
      <c r="K7" s="26"/>
    </row>
    <row r="8" spans="1:11" x14ac:dyDescent="0.25">
      <c r="A8" s="26"/>
      <c r="B8" s="25" t="str">
        <f>IF($A8="","",IFERROR(INDEX('Inventario General'!$B$5:$B$304,MATCH($A8,'Inventario General'!$A$5:$A$304,0))&amp;"","No está en el inventario"))</f>
        <v/>
      </c>
      <c r="C8" s="26"/>
      <c r="D8" s="51"/>
      <c r="E8" s="26"/>
      <c r="F8" s="26"/>
      <c r="G8" s="27"/>
      <c r="H8" s="27"/>
      <c r="I8" s="26"/>
      <c r="J8" s="25" t="str">
        <f t="shared" si="0"/>
        <v/>
      </c>
      <c r="K8" s="26"/>
    </row>
    <row r="9" spans="1:11" x14ac:dyDescent="0.25">
      <c r="A9" s="26"/>
      <c r="B9" s="25" t="str">
        <f>IF($A9="","",IFERROR(INDEX('Inventario General'!$B$5:$B$304,MATCH($A9,'Inventario General'!$A$5:$A$304,0))&amp;"","No está en el inventario"))</f>
        <v/>
      </c>
      <c r="C9" s="26"/>
      <c r="D9" s="51"/>
      <c r="E9" s="26"/>
      <c r="F9" s="26"/>
      <c r="G9" s="27"/>
      <c r="H9" s="27"/>
      <c r="I9" s="26"/>
      <c r="J9" s="25" t="str">
        <f t="shared" si="0"/>
        <v/>
      </c>
      <c r="K9" s="26"/>
    </row>
    <row r="10" spans="1:11" x14ac:dyDescent="0.25">
      <c r="A10" s="26"/>
      <c r="B10" s="25" t="str">
        <f>IF($A10="","",IFERROR(INDEX('Inventario General'!$B$5:$B$304,MATCH($A10,'Inventario General'!$A$5:$A$304,0))&amp;"","No está en el inventario"))</f>
        <v/>
      </c>
      <c r="C10" s="26"/>
      <c r="D10" s="51"/>
      <c r="E10" s="26"/>
      <c r="F10" s="26"/>
      <c r="G10" s="27"/>
      <c r="H10" s="27"/>
      <c r="I10" s="26"/>
      <c r="J10" s="25" t="str">
        <f t="shared" si="0"/>
        <v/>
      </c>
      <c r="K10" s="26"/>
    </row>
    <row r="11" spans="1:11" x14ac:dyDescent="0.25">
      <c r="A11" s="26"/>
      <c r="B11" s="25" t="str">
        <f>IF($A11="","",IFERROR(INDEX('Inventario General'!$B$5:$B$304,MATCH($A11,'Inventario General'!$A$5:$A$304,0))&amp;"","No está en el inventario"))</f>
        <v/>
      </c>
      <c r="C11" s="26"/>
      <c r="D11" s="51"/>
      <c r="E11" s="26"/>
      <c r="F11" s="26"/>
      <c r="G11" s="27"/>
      <c r="H11" s="27"/>
      <c r="I11" s="26"/>
      <c r="J11" s="25" t="str">
        <f t="shared" si="0"/>
        <v/>
      </c>
      <c r="K11" s="26"/>
    </row>
    <row r="12" spans="1:11" x14ac:dyDescent="0.25">
      <c r="A12" s="26"/>
      <c r="B12" s="25" t="str">
        <f>IF($A12="","",IFERROR(INDEX('Inventario General'!$B$5:$B$304,MATCH($A12,'Inventario General'!$A$5:$A$304,0))&amp;"","No está en el inventario"))</f>
        <v/>
      </c>
      <c r="C12" s="26"/>
      <c r="D12" s="51"/>
      <c r="E12" s="26"/>
      <c r="F12" s="26"/>
      <c r="G12" s="27"/>
      <c r="H12" s="27"/>
      <c r="I12" s="26"/>
      <c r="J12" s="25" t="str">
        <f t="shared" si="0"/>
        <v/>
      </c>
      <c r="K12" s="26"/>
    </row>
    <row r="13" spans="1:11" x14ac:dyDescent="0.25">
      <c r="A13" s="26"/>
      <c r="B13" s="25" t="str">
        <f>IF($A13="","",IFERROR(INDEX('Inventario General'!$B$5:$B$304,MATCH($A13,'Inventario General'!$A$5:$A$304,0))&amp;"","No está en el inventario"))</f>
        <v/>
      </c>
      <c r="C13" s="26"/>
      <c r="D13" s="51"/>
      <c r="E13" s="26"/>
      <c r="F13" s="26"/>
      <c r="G13" s="27"/>
      <c r="H13" s="27"/>
      <c r="I13" s="26"/>
      <c r="J13" s="25" t="str">
        <f t="shared" si="0"/>
        <v/>
      </c>
      <c r="K13" s="26"/>
    </row>
    <row r="14" spans="1:11" x14ac:dyDescent="0.25">
      <c r="A14" s="26"/>
      <c r="B14" s="25" t="str">
        <f>IF($A14="","",IFERROR(INDEX('Inventario General'!$B$5:$B$304,MATCH($A14,'Inventario General'!$A$5:$A$304,0))&amp;"","No está en el inventario"))</f>
        <v/>
      </c>
      <c r="C14" s="26"/>
      <c r="D14" s="51"/>
      <c r="E14" s="26"/>
      <c r="F14" s="26"/>
      <c r="G14" s="27"/>
      <c r="H14" s="27"/>
      <c r="I14" s="26"/>
      <c r="J14" s="25" t="str">
        <f t="shared" si="0"/>
        <v/>
      </c>
      <c r="K14" s="26"/>
    </row>
    <row r="15" spans="1:11" x14ac:dyDescent="0.25">
      <c r="A15" s="26"/>
      <c r="B15" s="25" t="str">
        <f>IF($A15="","",IFERROR(INDEX('Inventario General'!$B$5:$B$304,MATCH($A15,'Inventario General'!$A$5:$A$304,0))&amp;"","No está en el inventario"))</f>
        <v/>
      </c>
      <c r="C15" s="26"/>
      <c r="D15" s="51"/>
      <c r="E15" s="26"/>
      <c r="F15" s="26"/>
      <c r="G15" s="27"/>
      <c r="H15" s="27"/>
      <c r="I15" s="26"/>
      <c r="J15" s="25" t="str">
        <f t="shared" si="0"/>
        <v/>
      </c>
      <c r="K15" s="26"/>
    </row>
    <row r="16" spans="1:11" x14ac:dyDescent="0.25">
      <c r="A16" s="26"/>
      <c r="B16" s="25" t="str">
        <f>IF($A16="","",IFERROR(INDEX('Inventario General'!$B$5:$B$304,MATCH($A16,'Inventario General'!$A$5:$A$304,0))&amp;"","No está en el inventario"))</f>
        <v/>
      </c>
      <c r="C16" s="26"/>
      <c r="D16" s="51"/>
      <c r="E16" s="26"/>
      <c r="F16" s="26"/>
      <c r="G16" s="27"/>
      <c r="H16" s="27"/>
      <c r="I16" s="26"/>
      <c r="J16" s="25" t="str">
        <f t="shared" si="0"/>
        <v/>
      </c>
      <c r="K16" s="26"/>
    </row>
    <row r="17" spans="1:11" x14ac:dyDescent="0.25">
      <c r="A17" s="26"/>
      <c r="B17" s="25" t="str">
        <f>IF($A17="","",IFERROR(INDEX('Inventario General'!$B$5:$B$304,MATCH($A17,'Inventario General'!$A$5:$A$304,0))&amp;"","No está en el inventario"))</f>
        <v/>
      </c>
      <c r="C17" s="26"/>
      <c r="D17" s="51"/>
      <c r="E17" s="26"/>
      <c r="F17" s="26"/>
      <c r="G17" s="27"/>
      <c r="H17" s="27"/>
      <c r="I17" s="26"/>
      <c r="J17" s="25" t="str">
        <f t="shared" si="0"/>
        <v/>
      </c>
      <c r="K17" s="26"/>
    </row>
    <row r="18" spans="1:11" x14ac:dyDescent="0.25">
      <c r="A18" s="26"/>
      <c r="B18" s="25" t="str">
        <f>IF($A18="","",IFERROR(INDEX('Inventario General'!$B$5:$B$304,MATCH($A18,'Inventario General'!$A$5:$A$304,0))&amp;"","No está en el inventario"))</f>
        <v/>
      </c>
      <c r="C18" s="26"/>
      <c r="D18" s="51"/>
      <c r="E18" s="26"/>
      <c r="F18" s="26"/>
      <c r="G18" s="27"/>
      <c r="H18" s="27"/>
      <c r="I18" s="26"/>
      <c r="J18" s="25" t="str">
        <f t="shared" si="0"/>
        <v/>
      </c>
      <c r="K18" s="26"/>
    </row>
    <row r="19" spans="1:11" x14ac:dyDescent="0.25">
      <c r="A19" s="26"/>
      <c r="B19" s="25" t="str">
        <f>IF($A19="","",IFERROR(INDEX('Inventario General'!$B$5:$B$304,MATCH($A19,'Inventario General'!$A$5:$A$304,0))&amp;"","No está en el inventario"))</f>
        <v/>
      </c>
      <c r="C19" s="26"/>
      <c r="D19" s="51"/>
      <c r="E19" s="26"/>
      <c r="F19" s="26"/>
      <c r="G19" s="27"/>
      <c r="H19" s="27"/>
      <c r="I19" s="26"/>
      <c r="J19" s="25" t="str">
        <f t="shared" si="0"/>
        <v/>
      </c>
      <c r="K19" s="26"/>
    </row>
    <row r="20" spans="1:11" x14ac:dyDescent="0.25">
      <c r="A20" s="26"/>
      <c r="B20" s="25" t="str">
        <f>IF($A20="","",IFERROR(INDEX('Inventario General'!$B$5:$B$304,MATCH($A20,'Inventario General'!$A$5:$A$304,0))&amp;"","No está en el inventario"))</f>
        <v/>
      </c>
      <c r="C20" s="26"/>
      <c r="D20" s="51"/>
      <c r="E20" s="26"/>
      <c r="F20" s="26"/>
      <c r="G20" s="27"/>
      <c r="H20" s="27"/>
      <c r="I20" s="26"/>
      <c r="J20" s="25" t="str">
        <f t="shared" si="0"/>
        <v/>
      </c>
      <c r="K20" s="26"/>
    </row>
    <row r="21" spans="1:11" x14ac:dyDescent="0.25">
      <c r="A21" s="26"/>
      <c r="B21" s="25" t="str">
        <f>IF($A21="","",IFERROR(INDEX('Inventario General'!$B$5:$B$304,MATCH($A21,'Inventario General'!$A$5:$A$304,0))&amp;"","No está en el inventario"))</f>
        <v/>
      </c>
      <c r="C21" s="26"/>
      <c r="D21" s="51"/>
      <c r="E21" s="26"/>
      <c r="F21" s="26"/>
      <c r="G21" s="27"/>
      <c r="H21" s="27"/>
      <c r="I21" s="26"/>
      <c r="J21" s="25" t="str">
        <f t="shared" si="0"/>
        <v/>
      </c>
      <c r="K21" s="26"/>
    </row>
    <row r="22" spans="1:11" x14ac:dyDescent="0.25">
      <c r="A22" s="26"/>
      <c r="B22" s="25" t="str">
        <f>IF($A22="","",IFERROR(INDEX('Inventario General'!$B$5:$B$304,MATCH($A22,'Inventario General'!$A$5:$A$304,0))&amp;"","No está en el inventario"))</f>
        <v/>
      </c>
      <c r="C22" s="26"/>
      <c r="D22" s="51"/>
      <c r="E22" s="26"/>
      <c r="F22" s="26"/>
      <c r="G22" s="27"/>
      <c r="H22" s="27"/>
      <c r="I22" s="26"/>
      <c r="J22" s="25" t="str">
        <f t="shared" si="0"/>
        <v/>
      </c>
      <c r="K22" s="26"/>
    </row>
    <row r="23" spans="1:11" x14ac:dyDescent="0.25">
      <c r="A23" s="26"/>
      <c r="B23" s="25" t="str">
        <f>IF($A23="","",IFERROR(INDEX('Inventario General'!$B$5:$B$304,MATCH($A23,'Inventario General'!$A$5:$A$304,0))&amp;"","No está en el inventario"))</f>
        <v/>
      </c>
      <c r="C23" s="26"/>
      <c r="D23" s="51"/>
      <c r="E23" s="26"/>
      <c r="F23" s="26"/>
      <c r="G23" s="27"/>
      <c r="H23" s="27"/>
      <c r="I23" s="26"/>
      <c r="J23" s="25" t="str">
        <f t="shared" si="0"/>
        <v/>
      </c>
      <c r="K23" s="26"/>
    </row>
    <row r="24" spans="1:11" x14ac:dyDescent="0.25">
      <c r="A24" s="26"/>
      <c r="B24" s="25" t="str">
        <f>IF($A24="","",IFERROR(INDEX('Inventario General'!$B$5:$B$304,MATCH($A24,'Inventario General'!$A$5:$A$304,0))&amp;"","No está en el inventario"))</f>
        <v/>
      </c>
      <c r="C24" s="26"/>
      <c r="D24" s="51"/>
      <c r="E24" s="26"/>
      <c r="F24" s="26"/>
      <c r="G24" s="27"/>
      <c r="H24" s="27"/>
      <c r="I24" s="26"/>
      <c r="J24" s="25" t="str">
        <f t="shared" si="0"/>
        <v/>
      </c>
      <c r="K24" s="26"/>
    </row>
    <row r="25" spans="1:11" x14ac:dyDescent="0.25">
      <c r="A25" s="26"/>
      <c r="B25" s="25" t="str">
        <f>IF($A25="","",IFERROR(INDEX('Inventario General'!$B$5:$B$304,MATCH($A25,'Inventario General'!$A$5:$A$304,0))&amp;"","No está en el inventario"))</f>
        <v/>
      </c>
      <c r="C25" s="26"/>
      <c r="D25" s="51"/>
      <c r="E25" s="26"/>
      <c r="F25" s="26"/>
      <c r="G25" s="27"/>
      <c r="H25" s="27"/>
      <c r="I25" s="26"/>
      <c r="J25" s="25" t="str">
        <f t="shared" si="0"/>
        <v/>
      </c>
      <c r="K25" s="26"/>
    </row>
    <row r="26" spans="1:11" x14ac:dyDescent="0.25">
      <c r="A26" s="26"/>
      <c r="B26" s="25" t="str">
        <f>IF($A26="","",IFERROR(INDEX('Inventario General'!$B$5:$B$304,MATCH($A26,'Inventario General'!$A$5:$A$304,0))&amp;"","No está en el inventario"))</f>
        <v/>
      </c>
      <c r="C26" s="26"/>
      <c r="D26" s="51"/>
      <c r="E26" s="26"/>
      <c r="F26" s="26"/>
      <c r="G26" s="27"/>
      <c r="H26" s="27"/>
      <c r="I26" s="26"/>
      <c r="J26" s="25" t="str">
        <f t="shared" si="0"/>
        <v/>
      </c>
      <c r="K26" s="26"/>
    </row>
    <row r="27" spans="1:11" x14ac:dyDescent="0.25">
      <c r="A27" s="26"/>
      <c r="B27" s="25" t="str">
        <f>IF($A27="","",IFERROR(INDEX('Inventario General'!$B$5:$B$304,MATCH($A27,'Inventario General'!$A$5:$A$304,0))&amp;"","No está en el inventario"))</f>
        <v/>
      </c>
      <c r="C27" s="26"/>
      <c r="D27" s="51"/>
      <c r="E27" s="26"/>
      <c r="F27" s="26"/>
      <c r="G27" s="27"/>
      <c r="H27" s="27"/>
      <c r="I27" s="26"/>
      <c r="J27" s="25" t="str">
        <f t="shared" si="0"/>
        <v/>
      </c>
      <c r="K27" s="26"/>
    </row>
    <row r="28" spans="1:11" x14ac:dyDescent="0.25">
      <c r="A28" s="26"/>
      <c r="B28" s="25" t="str">
        <f>IF($A28="","",IFERROR(INDEX('Inventario General'!$B$5:$B$304,MATCH($A28,'Inventario General'!$A$5:$A$304,0))&amp;"","No está en el inventario"))</f>
        <v/>
      </c>
      <c r="C28" s="26"/>
      <c r="D28" s="51"/>
      <c r="E28" s="26"/>
      <c r="F28" s="26"/>
      <c r="G28" s="27"/>
      <c r="H28" s="27"/>
      <c r="I28" s="26"/>
      <c r="J28" s="25" t="str">
        <f t="shared" si="0"/>
        <v/>
      </c>
      <c r="K28" s="26"/>
    </row>
    <row r="29" spans="1:11" x14ac:dyDescent="0.25">
      <c r="A29" s="26"/>
      <c r="B29" s="25" t="str">
        <f>IF($A29="","",IFERROR(INDEX('Inventario General'!$B$5:$B$304,MATCH($A29,'Inventario General'!$A$5:$A$304,0))&amp;"","No está en el inventario"))</f>
        <v/>
      </c>
      <c r="C29" s="26"/>
      <c r="D29" s="51"/>
      <c r="E29" s="26"/>
      <c r="F29" s="26"/>
      <c r="G29" s="27"/>
      <c r="H29" s="27"/>
      <c r="I29" s="26"/>
      <c r="J29" s="25" t="str">
        <f t="shared" si="0"/>
        <v/>
      </c>
      <c r="K29" s="26"/>
    </row>
    <row r="30" spans="1:11" x14ac:dyDescent="0.25">
      <c r="A30" s="26"/>
      <c r="B30" s="25" t="str">
        <f>IF($A30="","",IFERROR(INDEX('Inventario General'!$B$5:$B$304,MATCH($A30,'Inventario General'!$A$5:$A$304,0))&amp;"","No está en el inventario"))</f>
        <v/>
      </c>
      <c r="C30" s="26"/>
      <c r="D30" s="51"/>
      <c r="E30" s="26"/>
      <c r="F30" s="26"/>
      <c r="G30" s="27"/>
      <c r="H30" s="27"/>
      <c r="I30" s="26"/>
      <c r="J30" s="25" t="str">
        <f t="shared" si="0"/>
        <v/>
      </c>
      <c r="K30" s="26"/>
    </row>
    <row r="31" spans="1:11" x14ac:dyDescent="0.25">
      <c r="A31" s="26"/>
      <c r="B31" s="25" t="str">
        <f>IF($A31="","",IFERROR(INDEX('Inventario General'!$B$5:$B$304,MATCH($A31,'Inventario General'!$A$5:$A$304,0))&amp;"","No está en el inventario"))</f>
        <v/>
      </c>
      <c r="C31" s="26"/>
      <c r="D31" s="51"/>
      <c r="E31" s="26"/>
      <c r="F31" s="26"/>
      <c r="G31" s="27"/>
      <c r="H31" s="27"/>
      <c r="I31" s="26"/>
      <c r="J31" s="25" t="str">
        <f t="shared" si="0"/>
        <v/>
      </c>
      <c r="K31" s="26"/>
    </row>
    <row r="32" spans="1:11" x14ac:dyDescent="0.25">
      <c r="A32" s="26"/>
      <c r="B32" s="25" t="str">
        <f>IF($A32="","",IFERROR(INDEX('Inventario General'!$B$5:$B$304,MATCH($A32,'Inventario General'!$A$5:$A$304,0))&amp;"","No está en el inventario"))</f>
        <v/>
      </c>
      <c r="C32" s="26"/>
      <c r="D32" s="51"/>
      <c r="E32" s="26"/>
      <c r="F32" s="26"/>
      <c r="G32" s="27"/>
      <c r="H32" s="27"/>
      <c r="I32" s="26"/>
      <c r="J32" s="25" t="str">
        <f t="shared" si="0"/>
        <v/>
      </c>
      <c r="K32" s="26"/>
    </row>
    <row r="33" spans="1:11" x14ac:dyDescent="0.25">
      <c r="A33" s="26"/>
      <c r="B33" s="25" t="str">
        <f>IF($A33="","",IFERROR(INDEX('Inventario General'!$B$5:$B$304,MATCH($A33,'Inventario General'!$A$5:$A$304,0))&amp;"","No está en el inventario"))</f>
        <v/>
      </c>
      <c r="C33" s="26"/>
      <c r="D33" s="51"/>
      <c r="E33" s="26"/>
      <c r="F33" s="26"/>
      <c r="G33" s="27"/>
      <c r="H33" s="27"/>
      <c r="I33" s="26"/>
      <c r="J33" s="25" t="str">
        <f t="shared" si="0"/>
        <v/>
      </c>
      <c r="K33" s="26"/>
    </row>
    <row r="34" spans="1:11" x14ac:dyDescent="0.25">
      <c r="A34" s="26"/>
      <c r="B34" s="25" t="str">
        <f>IF($A34="","",IFERROR(INDEX('Inventario General'!$B$5:$B$304,MATCH($A34,'Inventario General'!$A$5:$A$304,0))&amp;"","No está en el inventario"))</f>
        <v/>
      </c>
      <c r="C34" s="26"/>
      <c r="D34" s="51"/>
      <c r="E34" s="26"/>
      <c r="F34" s="26"/>
      <c r="G34" s="27"/>
      <c r="H34" s="27"/>
      <c r="I34" s="26"/>
      <c r="J34" s="25" t="str">
        <f t="shared" si="0"/>
        <v/>
      </c>
      <c r="K34" s="26"/>
    </row>
    <row r="35" spans="1:11" x14ac:dyDescent="0.25">
      <c r="A35" s="26"/>
      <c r="B35" s="25" t="str">
        <f>IF($A35="","",IFERROR(INDEX('Inventario General'!$B$5:$B$304,MATCH($A35,'Inventario General'!$A$5:$A$304,0))&amp;"","No está en el inventario"))</f>
        <v/>
      </c>
      <c r="C35" s="26"/>
      <c r="D35" s="51"/>
      <c r="E35" s="26"/>
      <c r="F35" s="26"/>
      <c r="G35" s="27"/>
      <c r="H35" s="27"/>
      <c r="I35" s="26"/>
      <c r="J35" s="25" t="str">
        <f t="shared" si="0"/>
        <v/>
      </c>
      <c r="K35" s="26"/>
    </row>
    <row r="36" spans="1:11" x14ac:dyDescent="0.25">
      <c r="A36" s="26"/>
      <c r="B36" s="25" t="str">
        <f>IF($A36="","",IFERROR(INDEX('Inventario General'!$B$5:$B$304,MATCH($A36,'Inventario General'!$A$5:$A$304,0))&amp;"","No está en el inventario"))</f>
        <v/>
      </c>
      <c r="C36" s="26"/>
      <c r="D36" s="51"/>
      <c r="E36" s="26"/>
      <c r="F36" s="26"/>
      <c r="G36" s="27"/>
      <c r="H36" s="27"/>
      <c r="I36" s="26"/>
      <c r="J36" s="25" t="str">
        <f t="shared" si="0"/>
        <v/>
      </c>
      <c r="K36" s="26"/>
    </row>
    <row r="37" spans="1:11" x14ac:dyDescent="0.25">
      <c r="A37" s="26"/>
      <c r="B37" s="25" t="str">
        <f>IF($A37="","",IFERROR(INDEX('Inventario General'!$B$5:$B$304,MATCH($A37,'Inventario General'!$A$5:$A$304,0))&amp;"","No está en el inventario"))</f>
        <v/>
      </c>
      <c r="C37" s="26"/>
      <c r="D37" s="51"/>
      <c r="E37" s="26"/>
      <c r="F37" s="26"/>
      <c r="G37" s="27"/>
      <c r="H37" s="27"/>
      <c r="I37" s="26"/>
      <c r="J37" s="25" t="str">
        <f t="shared" ref="J37:J68" si="1">IF(G37="","",IF(H37="","Vigente","Devuelto"))</f>
        <v/>
      </c>
      <c r="K37" s="26"/>
    </row>
    <row r="38" spans="1:11" x14ac:dyDescent="0.25">
      <c r="A38" s="26"/>
      <c r="B38" s="25" t="str">
        <f>IF($A38="","",IFERROR(INDEX('Inventario General'!$B$5:$B$304,MATCH($A38,'Inventario General'!$A$5:$A$304,0))&amp;"","No está en el inventario"))</f>
        <v/>
      </c>
      <c r="C38" s="26"/>
      <c r="D38" s="51"/>
      <c r="E38" s="26"/>
      <c r="F38" s="26"/>
      <c r="G38" s="27"/>
      <c r="H38" s="27"/>
      <c r="I38" s="26"/>
      <c r="J38" s="25" t="str">
        <f t="shared" si="1"/>
        <v/>
      </c>
      <c r="K38" s="26"/>
    </row>
    <row r="39" spans="1:11" x14ac:dyDescent="0.25">
      <c r="A39" s="26"/>
      <c r="B39" s="25" t="str">
        <f>IF($A39="","",IFERROR(INDEX('Inventario General'!$B$5:$B$304,MATCH($A39,'Inventario General'!$A$5:$A$304,0))&amp;"","No está en el inventario"))</f>
        <v/>
      </c>
      <c r="C39" s="26"/>
      <c r="D39" s="51"/>
      <c r="E39" s="26"/>
      <c r="F39" s="26"/>
      <c r="G39" s="27"/>
      <c r="H39" s="27"/>
      <c r="I39" s="26"/>
      <c r="J39" s="25" t="str">
        <f t="shared" si="1"/>
        <v/>
      </c>
      <c r="K39" s="26"/>
    </row>
    <row r="40" spans="1:11" x14ac:dyDescent="0.25">
      <c r="A40" s="26"/>
      <c r="B40" s="25" t="str">
        <f>IF($A40="","",IFERROR(INDEX('Inventario General'!$B$5:$B$304,MATCH($A40,'Inventario General'!$A$5:$A$304,0))&amp;"","No está en el inventario"))</f>
        <v/>
      </c>
      <c r="C40" s="26"/>
      <c r="D40" s="51"/>
      <c r="E40" s="26"/>
      <c r="F40" s="26"/>
      <c r="G40" s="27"/>
      <c r="H40" s="27"/>
      <c r="I40" s="26"/>
      <c r="J40" s="25" t="str">
        <f t="shared" si="1"/>
        <v/>
      </c>
      <c r="K40" s="26"/>
    </row>
    <row r="41" spans="1:11" x14ac:dyDescent="0.25">
      <c r="A41" s="26"/>
      <c r="B41" s="25" t="str">
        <f>IF($A41="","",IFERROR(INDEX('Inventario General'!$B$5:$B$304,MATCH($A41,'Inventario General'!$A$5:$A$304,0))&amp;"","No está en el inventario"))</f>
        <v/>
      </c>
      <c r="C41" s="26"/>
      <c r="D41" s="51"/>
      <c r="E41" s="26"/>
      <c r="F41" s="26"/>
      <c r="G41" s="27"/>
      <c r="H41" s="27"/>
      <c r="I41" s="26"/>
      <c r="J41" s="25" t="str">
        <f t="shared" si="1"/>
        <v/>
      </c>
      <c r="K41" s="26"/>
    </row>
    <row r="42" spans="1:11" x14ac:dyDescent="0.25">
      <c r="A42" s="26"/>
      <c r="B42" s="25" t="str">
        <f>IF($A42="","",IFERROR(INDEX('Inventario General'!$B$5:$B$304,MATCH($A42,'Inventario General'!$A$5:$A$304,0))&amp;"","No está en el inventario"))</f>
        <v/>
      </c>
      <c r="C42" s="26"/>
      <c r="D42" s="51"/>
      <c r="E42" s="26"/>
      <c r="F42" s="26"/>
      <c r="G42" s="27"/>
      <c r="H42" s="27"/>
      <c r="I42" s="26"/>
      <c r="J42" s="25" t="str">
        <f t="shared" si="1"/>
        <v/>
      </c>
      <c r="K42" s="26"/>
    </row>
    <row r="43" spans="1:11" x14ac:dyDescent="0.25">
      <c r="A43" s="26"/>
      <c r="B43" s="25" t="str">
        <f>IF($A43="","",IFERROR(INDEX('Inventario General'!$B$5:$B$304,MATCH($A43,'Inventario General'!$A$5:$A$304,0))&amp;"","No está en el inventario"))</f>
        <v/>
      </c>
      <c r="C43" s="26"/>
      <c r="D43" s="51"/>
      <c r="E43" s="26"/>
      <c r="F43" s="26"/>
      <c r="G43" s="27"/>
      <c r="H43" s="27"/>
      <c r="I43" s="26"/>
      <c r="J43" s="25" t="str">
        <f t="shared" si="1"/>
        <v/>
      </c>
      <c r="K43" s="26"/>
    </row>
    <row r="44" spans="1:11" x14ac:dyDescent="0.25">
      <c r="A44" s="26"/>
      <c r="B44" s="25" t="str">
        <f>IF($A44="","",IFERROR(INDEX('Inventario General'!$B$5:$B$304,MATCH($A44,'Inventario General'!$A$5:$A$304,0))&amp;"","No está en el inventario"))</f>
        <v/>
      </c>
      <c r="C44" s="26"/>
      <c r="D44" s="51"/>
      <c r="E44" s="26"/>
      <c r="F44" s="26"/>
      <c r="G44" s="27"/>
      <c r="H44" s="27"/>
      <c r="I44" s="26"/>
      <c r="J44" s="25" t="str">
        <f t="shared" si="1"/>
        <v/>
      </c>
      <c r="K44" s="26"/>
    </row>
    <row r="45" spans="1:11" x14ac:dyDescent="0.25">
      <c r="A45" s="26"/>
      <c r="B45" s="25" t="str">
        <f>IF($A45="","",IFERROR(INDEX('Inventario General'!$B$5:$B$304,MATCH($A45,'Inventario General'!$A$5:$A$304,0))&amp;"","No está en el inventario"))</f>
        <v/>
      </c>
      <c r="C45" s="26"/>
      <c r="D45" s="51"/>
      <c r="E45" s="26"/>
      <c r="F45" s="26"/>
      <c r="G45" s="27"/>
      <c r="H45" s="27"/>
      <c r="I45" s="26"/>
      <c r="J45" s="25" t="str">
        <f t="shared" si="1"/>
        <v/>
      </c>
      <c r="K45" s="26"/>
    </row>
    <row r="46" spans="1:11" x14ac:dyDescent="0.25">
      <c r="A46" s="26"/>
      <c r="B46" s="25" t="str">
        <f>IF($A46="","",IFERROR(INDEX('Inventario General'!$B$5:$B$304,MATCH($A46,'Inventario General'!$A$5:$A$304,0))&amp;"","No está en el inventario"))</f>
        <v/>
      </c>
      <c r="C46" s="26"/>
      <c r="D46" s="51"/>
      <c r="E46" s="26"/>
      <c r="F46" s="26"/>
      <c r="G46" s="27"/>
      <c r="H46" s="27"/>
      <c r="I46" s="26"/>
      <c r="J46" s="25" t="str">
        <f t="shared" si="1"/>
        <v/>
      </c>
      <c r="K46" s="26"/>
    </row>
    <row r="47" spans="1:11" x14ac:dyDescent="0.25">
      <c r="A47" s="26"/>
      <c r="B47" s="25" t="str">
        <f>IF($A47="","",IFERROR(INDEX('Inventario General'!$B$5:$B$304,MATCH($A47,'Inventario General'!$A$5:$A$304,0))&amp;"","No está en el inventario"))</f>
        <v/>
      </c>
      <c r="C47" s="26"/>
      <c r="D47" s="51"/>
      <c r="E47" s="26"/>
      <c r="F47" s="26"/>
      <c r="G47" s="27"/>
      <c r="H47" s="27"/>
      <c r="I47" s="26"/>
      <c r="J47" s="25" t="str">
        <f t="shared" si="1"/>
        <v/>
      </c>
      <c r="K47" s="26"/>
    </row>
    <row r="48" spans="1:11" x14ac:dyDescent="0.25">
      <c r="A48" s="26"/>
      <c r="B48" s="25" t="str">
        <f>IF($A48="","",IFERROR(INDEX('Inventario General'!$B$5:$B$304,MATCH($A48,'Inventario General'!$A$5:$A$304,0))&amp;"","No está en el inventario"))</f>
        <v/>
      </c>
      <c r="C48" s="26"/>
      <c r="D48" s="51"/>
      <c r="E48" s="26"/>
      <c r="F48" s="26"/>
      <c r="G48" s="27"/>
      <c r="H48" s="27"/>
      <c r="I48" s="26"/>
      <c r="J48" s="25" t="str">
        <f t="shared" si="1"/>
        <v/>
      </c>
      <c r="K48" s="26"/>
    </row>
    <row r="49" spans="1:11" x14ac:dyDescent="0.25">
      <c r="A49" s="26"/>
      <c r="B49" s="25" t="str">
        <f>IF($A49="","",IFERROR(INDEX('Inventario General'!$B$5:$B$304,MATCH($A49,'Inventario General'!$A$5:$A$304,0))&amp;"","No está en el inventario"))</f>
        <v/>
      </c>
      <c r="C49" s="26"/>
      <c r="D49" s="51"/>
      <c r="E49" s="26"/>
      <c r="F49" s="26"/>
      <c r="G49" s="27"/>
      <c r="H49" s="27"/>
      <c r="I49" s="26"/>
      <c r="J49" s="25" t="str">
        <f t="shared" si="1"/>
        <v/>
      </c>
      <c r="K49" s="26"/>
    </row>
    <row r="50" spans="1:11" x14ac:dyDescent="0.25">
      <c r="A50" s="26"/>
      <c r="B50" s="25" t="str">
        <f>IF($A50="","",IFERROR(INDEX('Inventario General'!$B$5:$B$304,MATCH($A50,'Inventario General'!$A$5:$A$304,0))&amp;"","No está en el inventario"))</f>
        <v/>
      </c>
      <c r="C50" s="26"/>
      <c r="D50" s="51"/>
      <c r="E50" s="26"/>
      <c r="F50" s="26"/>
      <c r="G50" s="27"/>
      <c r="H50" s="27"/>
      <c r="I50" s="26"/>
      <c r="J50" s="25" t="str">
        <f t="shared" si="1"/>
        <v/>
      </c>
      <c r="K50" s="26"/>
    </row>
    <row r="51" spans="1:11" x14ac:dyDescent="0.25">
      <c r="A51" s="26"/>
      <c r="B51" s="25" t="str">
        <f>IF($A51="","",IFERROR(INDEX('Inventario General'!$B$5:$B$304,MATCH($A51,'Inventario General'!$A$5:$A$304,0))&amp;"","No está en el inventario"))</f>
        <v/>
      </c>
      <c r="C51" s="26"/>
      <c r="D51" s="51"/>
      <c r="E51" s="26"/>
      <c r="F51" s="26"/>
      <c r="G51" s="27"/>
      <c r="H51" s="27"/>
      <c r="I51" s="26"/>
      <c r="J51" s="25" t="str">
        <f t="shared" si="1"/>
        <v/>
      </c>
      <c r="K51" s="26"/>
    </row>
    <row r="52" spans="1:11" x14ac:dyDescent="0.25">
      <c r="A52" s="26"/>
      <c r="B52" s="25" t="str">
        <f>IF($A52="","",IFERROR(INDEX('Inventario General'!$B$5:$B$304,MATCH($A52,'Inventario General'!$A$5:$A$304,0))&amp;"","No está en el inventario"))</f>
        <v/>
      </c>
      <c r="C52" s="26"/>
      <c r="D52" s="51"/>
      <c r="E52" s="26"/>
      <c r="F52" s="26"/>
      <c r="G52" s="27"/>
      <c r="H52" s="27"/>
      <c r="I52" s="26"/>
      <c r="J52" s="25" t="str">
        <f t="shared" si="1"/>
        <v/>
      </c>
      <c r="K52" s="26"/>
    </row>
    <row r="53" spans="1:11" x14ac:dyDescent="0.25">
      <c r="A53" s="26"/>
      <c r="B53" s="25" t="str">
        <f>IF($A53="","",IFERROR(INDEX('Inventario General'!$B$5:$B$304,MATCH($A53,'Inventario General'!$A$5:$A$304,0))&amp;"","No está en el inventario"))</f>
        <v/>
      </c>
      <c r="C53" s="26"/>
      <c r="D53" s="51"/>
      <c r="E53" s="26"/>
      <c r="F53" s="26"/>
      <c r="G53" s="27"/>
      <c r="H53" s="27"/>
      <c r="I53" s="26"/>
      <c r="J53" s="25" t="str">
        <f t="shared" si="1"/>
        <v/>
      </c>
      <c r="K53" s="26"/>
    </row>
    <row r="54" spans="1:11" x14ac:dyDescent="0.25">
      <c r="A54" s="26"/>
      <c r="B54" s="25" t="str">
        <f>IF($A54="","",IFERROR(INDEX('Inventario General'!$B$5:$B$304,MATCH($A54,'Inventario General'!$A$5:$A$304,0))&amp;"","No está en el inventario"))</f>
        <v/>
      </c>
      <c r="C54" s="26"/>
      <c r="D54" s="51"/>
      <c r="E54" s="26"/>
      <c r="F54" s="26"/>
      <c r="G54" s="27"/>
      <c r="H54" s="27"/>
      <c r="I54" s="26"/>
      <c r="J54" s="25" t="str">
        <f t="shared" si="1"/>
        <v/>
      </c>
      <c r="K54" s="26"/>
    </row>
    <row r="55" spans="1:11" x14ac:dyDescent="0.25">
      <c r="A55" s="26"/>
      <c r="B55" s="25" t="str">
        <f>IF($A55="","",IFERROR(INDEX('Inventario General'!$B$5:$B$304,MATCH($A55,'Inventario General'!$A$5:$A$304,0))&amp;"","No está en el inventario"))</f>
        <v/>
      </c>
      <c r="C55" s="26"/>
      <c r="D55" s="51"/>
      <c r="E55" s="26"/>
      <c r="F55" s="26"/>
      <c r="G55" s="27"/>
      <c r="H55" s="27"/>
      <c r="I55" s="26"/>
      <c r="J55" s="25" t="str">
        <f t="shared" si="1"/>
        <v/>
      </c>
      <c r="K55" s="26"/>
    </row>
    <row r="56" spans="1:11" x14ac:dyDescent="0.25">
      <c r="A56" s="26"/>
      <c r="B56" s="25" t="str">
        <f>IF($A56="","",IFERROR(INDEX('Inventario General'!$B$5:$B$304,MATCH($A56,'Inventario General'!$A$5:$A$304,0))&amp;"","No está en el inventario"))</f>
        <v/>
      </c>
      <c r="C56" s="26"/>
      <c r="D56" s="51"/>
      <c r="E56" s="26"/>
      <c r="F56" s="26"/>
      <c r="G56" s="27"/>
      <c r="H56" s="27"/>
      <c r="I56" s="26"/>
      <c r="J56" s="25" t="str">
        <f t="shared" si="1"/>
        <v/>
      </c>
      <c r="K56" s="26"/>
    </row>
    <row r="57" spans="1:11" x14ac:dyDescent="0.25">
      <c r="A57" s="26"/>
      <c r="B57" s="25" t="str">
        <f>IF($A57="","",IFERROR(INDEX('Inventario General'!$B$5:$B$304,MATCH($A57,'Inventario General'!$A$5:$A$304,0))&amp;"","No está en el inventario"))</f>
        <v/>
      </c>
      <c r="C57" s="26"/>
      <c r="D57" s="51"/>
      <c r="E57" s="26"/>
      <c r="F57" s="26"/>
      <c r="G57" s="27"/>
      <c r="H57" s="27"/>
      <c r="I57" s="26"/>
      <c r="J57" s="25" t="str">
        <f t="shared" si="1"/>
        <v/>
      </c>
      <c r="K57" s="26"/>
    </row>
    <row r="58" spans="1:11" x14ac:dyDescent="0.25">
      <c r="A58" s="26"/>
      <c r="B58" s="25" t="str">
        <f>IF($A58="","",IFERROR(INDEX('Inventario General'!$B$5:$B$304,MATCH($A58,'Inventario General'!$A$5:$A$304,0))&amp;"","No está en el inventario"))</f>
        <v/>
      </c>
      <c r="C58" s="26"/>
      <c r="D58" s="51"/>
      <c r="E58" s="26"/>
      <c r="F58" s="26"/>
      <c r="G58" s="27"/>
      <c r="H58" s="27"/>
      <c r="I58" s="26"/>
      <c r="J58" s="25" t="str">
        <f t="shared" si="1"/>
        <v/>
      </c>
      <c r="K58" s="26"/>
    </row>
    <row r="59" spans="1:11" x14ac:dyDescent="0.25">
      <c r="A59" s="26"/>
      <c r="B59" s="25" t="str">
        <f>IF($A59="","",IFERROR(INDEX('Inventario General'!$B$5:$B$304,MATCH($A59,'Inventario General'!$A$5:$A$304,0))&amp;"","No está en el inventario"))</f>
        <v/>
      </c>
      <c r="C59" s="26"/>
      <c r="D59" s="51"/>
      <c r="E59" s="26"/>
      <c r="F59" s="26"/>
      <c r="G59" s="27"/>
      <c r="H59" s="27"/>
      <c r="I59" s="26"/>
      <c r="J59" s="25" t="str">
        <f t="shared" si="1"/>
        <v/>
      </c>
      <c r="K59" s="26"/>
    </row>
    <row r="60" spans="1:11" x14ac:dyDescent="0.25">
      <c r="A60" s="26"/>
      <c r="B60" s="25" t="str">
        <f>IF($A60="","",IFERROR(INDEX('Inventario General'!$B$5:$B$304,MATCH($A60,'Inventario General'!$A$5:$A$304,0))&amp;"","No está en el inventario"))</f>
        <v/>
      </c>
      <c r="C60" s="26"/>
      <c r="D60" s="51"/>
      <c r="E60" s="26"/>
      <c r="F60" s="26"/>
      <c r="G60" s="27"/>
      <c r="H60" s="27"/>
      <c r="I60" s="26"/>
      <c r="J60" s="25" t="str">
        <f t="shared" si="1"/>
        <v/>
      </c>
      <c r="K60" s="26"/>
    </row>
    <row r="61" spans="1:11" x14ac:dyDescent="0.25">
      <c r="A61" s="26"/>
      <c r="B61" s="25" t="str">
        <f>IF($A61="","",IFERROR(INDEX('Inventario General'!$B$5:$B$304,MATCH($A61,'Inventario General'!$A$5:$A$304,0))&amp;"","No está en el inventario"))</f>
        <v/>
      </c>
      <c r="C61" s="26"/>
      <c r="D61" s="51"/>
      <c r="E61" s="26"/>
      <c r="F61" s="26"/>
      <c r="G61" s="27"/>
      <c r="H61" s="27"/>
      <c r="I61" s="26"/>
      <c r="J61" s="25" t="str">
        <f t="shared" si="1"/>
        <v/>
      </c>
      <c r="K61" s="26"/>
    </row>
    <row r="62" spans="1:11" x14ac:dyDescent="0.25">
      <c r="A62" s="26"/>
      <c r="B62" s="25" t="str">
        <f>IF($A62="","",IFERROR(INDEX('Inventario General'!$B$5:$B$304,MATCH($A62,'Inventario General'!$A$5:$A$304,0))&amp;"","No está en el inventario"))</f>
        <v/>
      </c>
      <c r="C62" s="26"/>
      <c r="D62" s="51"/>
      <c r="E62" s="26"/>
      <c r="F62" s="26"/>
      <c r="G62" s="27"/>
      <c r="H62" s="27"/>
      <c r="I62" s="26"/>
      <c r="J62" s="25" t="str">
        <f t="shared" si="1"/>
        <v/>
      </c>
      <c r="K62" s="26"/>
    </row>
    <row r="63" spans="1:11" x14ac:dyDescent="0.25">
      <c r="A63" s="26"/>
      <c r="B63" s="25" t="str">
        <f>IF($A63="","",IFERROR(INDEX('Inventario General'!$B$5:$B$304,MATCH($A63,'Inventario General'!$A$5:$A$304,0))&amp;"","No está en el inventario"))</f>
        <v/>
      </c>
      <c r="C63" s="26"/>
      <c r="D63" s="51"/>
      <c r="E63" s="26"/>
      <c r="F63" s="26"/>
      <c r="G63" s="27"/>
      <c r="H63" s="27"/>
      <c r="I63" s="26"/>
      <c r="J63" s="25" t="str">
        <f t="shared" si="1"/>
        <v/>
      </c>
      <c r="K63" s="26"/>
    </row>
    <row r="64" spans="1:11" x14ac:dyDescent="0.25">
      <c r="A64" s="26"/>
      <c r="B64" s="25" t="str">
        <f>IF($A64="","",IFERROR(INDEX('Inventario General'!$B$5:$B$304,MATCH($A64,'Inventario General'!$A$5:$A$304,0))&amp;"","No está en el inventario"))</f>
        <v/>
      </c>
      <c r="C64" s="26"/>
      <c r="D64" s="51"/>
      <c r="E64" s="26"/>
      <c r="F64" s="26"/>
      <c r="G64" s="27"/>
      <c r="H64" s="27"/>
      <c r="I64" s="26"/>
      <c r="J64" s="25" t="str">
        <f t="shared" si="1"/>
        <v/>
      </c>
      <c r="K64" s="26"/>
    </row>
    <row r="65" spans="1:11" x14ac:dyDescent="0.25">
      <c r="A65" s="26"/>
      <c r="B65" s="25" t="str">
        <f>IF($A65="","",IFERROR(INDEX('Inventario General'!$B$5:$B$304,MATCH($A65,'Inventario General'!$A$5:$A$304,0))&amp;"","No está en el inventario"))</f>
        <v/>
      </c>
      <c r="C65" s="26"/>
      <c r="D65" s="51"/>
      <c r="E65" s="26"/>
      <c r="F65" s="26"/>
      <c r="G65" s="27"/>
      <c r="H65" s="27"/>
      <c r="I65" s="26"/>
      <c r="J65" s="25" t="str">
        <f t="shared" si="1"/>
        <v/>
      </c>
      <c r="K65" s="26"/>
    </row>
    <row r="66" spans="1:11" x14ac:dyDescent="0.25">
      <c r="A66" s="26"/>
      <c r="B66" s="25" t="str">
        <f>IF($A66="","",IFERROR(INDEX('Inventario General'!$B$5:$B$304,MATCH($A66,'Inventario General'!$A$5:$A$304,0))&amp;"","No está en el inventario"))</f>
        <v/>
      </c>
      <c r="C66" s="26"/>
      <c r="D66" s="51"/>
      <c r="E66" s="26"/>
      <c r="F66" s="26"/>
      <c r="G66" s="27"/>
      <c r="H66" s="27"/>
      <c r="I66" s="26"/>
      <c r="J66" s="25" t="str">
        <f t="shared" si="1"/>
        <v/>
      </c>
      <c r="K66" s="26"/>
    </row>
    <row r="67" spans="1:11" x14ac:dyDescent="0.25">
      <c r="A67" s="26"/>
      <c r="B67" s="25" t="str">
        <f>IF($A67="","",IFERROR(INDEX('Inventario General'!$B$5:$B$304,MATCH($A67,'Inventario General'!$A$5:$A$304,0))&amp;"","No está en el inventario"))</f>
        <v/>
      </c>
      <c r="C67" s="26"/>
      <c r="D67" s="51"/>
      <c r="E67" s="26"/>
      <c r="F67" s="26"/>
      <c r="G67" s="27"/>
      <c r="H67" s="27"/>
      <c r="I67" s="26"/>
      <c r="J67" s="25" t="str">
        <f t="shared" si="1"/>
        <v/>
      </c>
      <c r="K67" s="26"/>
    </row>
    <row r="68" spans="1:11" x14ac:dyDescent="0.25">
      <c r="A68" s="26"/>
      <c r="B68" s="25" t="str">
        <f>IF($A68="","",IFERROR(INDEX('Inventario General'!$B$5:$B$304,MATCH($A68,'Inventario General'!$A$5:$A$304,0))&amp;"","No está en el inventario"))</f>
        <v/>
      </c>
      <c r="C68" s="26"/>
      <c r="D68" s="51"/>
      <c r="E68" s="26"/>
      <c r="F68" s="26"/>
      <c r="G68" s="27"/>
      <c r="H68" s="27"/>
      <c r="I68" s="26"/>
      <c r="J68" s="25" t="str">
        <f t="shared" si="1"/>
        <v/>
      </c>
      <c r="K68" s="26"/>
    </row>
    <row r="69" spans="1:11" x14ac:dyDescent="0.25">
      <c r="A69" s="26"/>
      <c r="B69" s="25" t="str">
        <f>IF($A69="","",IFERROR(INDEX('Inventario General'!$B$5:$B$304,MATCH($A69,'Inventario General'!$A$5:$A$304,0))&amp;"","No está en el inventario"))</f>
        <v/>
      </c>
      <c r="C69" s="26"/>
      <c r="D69" s="51"/>
      <c r="E69" s="26"/>
      <c r="F69" s="26"/>
      <c r="G69" s="27"/>
      <c r="H69" s="27"/>
      <c r="I69" s="26"/>
      <c r="J69" s="25" t="str">
        <f t="shared" ref="J69:J100" si="2">IF(G69="","",IF(H69="","Vigente","Devuelto"))</f>
        <v/>
      </c>
      <c r="K69" s="26"/>
    </row>
    <row r="70" spans="1:11" x14ac:dyDescent="0.25">
      <c r="A70" s="26"/>
      <c r="B70" s="25" t="str">
        <f>IF($A70="","",IFERROR(INDEX('Inventario General'!$B$5:$B$304,MATCH($A70,'Inventario General'!$A$5:$A$304,0))&amp;"","No está en el inventario"))</f>
        <v/>
      </c>
      <c r="C70" s="26"/>
      <c r="D70" s="51"/>
      <c r="E70" s="26"/>
      <c r="F70" s="26"/>
      <c r="G70" s="27"/>
      <c r="H70" s="27"/>
      <c r="I70" s="26"/>
      <c r="J70" s="25" t="str">
        <f t="shared" si="2"/>
        <v/>
      </c>
      <c r="K70" s="26"/>
    </row>
    <row r="71" spans="1:11" x14ac:dyDescent="0.25">
      <c r="A71" s="26"/>
      <c r="B71" s="25" t="str">
        <f>IF($A71="","",IFERROR(INDEX('Inventario General'!$B$5:$B$304,MATCH($A71,'Inventario General'!$A$5:$A$304,0))&amp;"","No está en el inventario"))</f>
        <v/>
      </c>
      <c r="C71" s="26"/>
      <c r="D71" s="51"/>
      <c r="E71" s="26"/>
      <c r="F71" s="26"/>
      <c r="G71" s="27"/>
      <c r="H71" s="27"/>
      <c r="I71" s="26"/>
      <c r="J71" s="25" t="str">
        <f t="shared" si="2"/>
        <v/>
      </c>
      <c r="K71" s="26"/>
    </row>
    <row r="72" spans="1:11" x14ac:dyDescent="0.25">
      <c r="A72" s="26"/>
      <c r="B72" s="25" t="str">
        <f>IF($A72="","",IFERROR(INDEX('Inventario General'!$B$5:$B$304,MATCH($A72,'Inventario General'!$A$5:$A$304,0))&amp;"","No está en el inventario"))</f>
        <v/>
      </c>
      <c r="C72" s="26"/>
      <c r="D72" s="51"/>
      <c r="E72" s="26"/>
      <c r="F72" s="26"/>
      <c r="G72" s="27"/>
      <c r="H72" s="27"/>
      <c r="I72" s="26"/>
      <c r="J72" s="25" t="str">
        <f t="shared" si="2"/>
        <v/>
      </c>
      <c r="K72" s="26"/>
    </row>
    <row r="73" spans="1:11" x14ac:dyDescent="0.25">
      <c r="A73" s="26"/>
      <c r="B73" s="25" t="str">
        <f>IF($A73="","",IFERROR(INDEX('Inventario General'!$B$5:$B$304,MATCH($A73,'Inventario General'!$A$5:$A$304,0))&amp;"","No está en el inventario"))</f>
        <v/>
      </c>
      <c r="C73" s="26"/>
      <c r="D73" s="51"/>
      <c r="E73" s="26"/>
      <c r="F73" s="26"/>
      <c r="G73" s="27"/>
      <c r="H73" s="27"/>
      <c r="I73" s="26"/>
      <c r="J73" s="25" t="str">
        <f t="shared" si="2"/>
        <v/>
      </c>
      <c r="K73" s="26"/>
    </row>
    <row r="74" spans="1:11" x14ac:dyDescent="0.25">
      <c r="A74" s="26"/>
      <c r="B74" s="25" t="str">
        <f>IF($A74="","",IFERROR(INDEX('Inventario General'!$B$5:$B$304,MATCH($A74,'Inventario General'!$A$5:$A$304,0))&amp;"","No está en el inventario"))</f>
        <v/>
      </c>
      <c r="C74" s="26"/>
      <c r="D74" s="51"/>
      <c r="E74" s="26"/>
      <c r="F74" s="26"/>
      <c r="G74" s="27"/>
      <c r="H74" s="27"/>
      <c r="I74" s="26"/>
      <c r="J74" s="25" t="str">
        <f t="shared" si="2"/>
        <v/>
      </c>
      <c r="K74" s="26"/>
    </row>
    <row r="75" spans="1:11" x14ac:dyDescent="0.25">
      <c r="A75" s="26"/>
      <c r="B75" s="25" t="str">
        <f>IF($A75="","",IFERROR(INDEX('Inventario General'!$B$5:$B$304,MATCH($A75,'Inventario General'!$A$5:$A$304,0))&amp;"","No está en el inventario"))</f>
        <v/>
      </c>
      <c r="C75" s="26"/>
      <c r="D75" s="51"/>
      <c r="E75" s="26"/>
      <c r="F75" s="26"/>
      <c r="G75" s="27"/>
      <c r="H75" s="27"/>
      <c r="I75" s="26"/>
      <c r="J75" s="25" t="str">
        <f t="shared" si="2"/>
        <v/>
      </c>
      <c r="K75" s="26"/>
    </row>
    <row r="76" spans="1:11" x14ac:dyDescent="0.25">
      <c r="A76" s="26"/>
      <c r="B76" s="25" t="str">
        <f>IF($A76="","",IFERROR(INDEX('Inventario General'!$B$5:$B$304,MATCH($A76,'Inventario General'!$A$5:$A$304,0))&amp;"","No está en el inventario"))</f>
        <v/>
      </c>
      <c r="C76" s="26"/>
      <c r="D76" s="51"/>
      <c r="E76" s="26"/>
      <c r="F76" s="26"/>
      <c r="G76" s="27"/>
      <c r="H76" s="27"/>
      <c r="I76" s="26"/>
      <c r="J76" s="25" t="str">
        <f t="shared" si="2"/>
        <v/>
      </c>
      <c r="K76" s="26"/>
    </row>
    <row r="77" spans="1:11" x14ac:dyDescent="0.25">
      <c r="A77" s="26"/>
      <c r="B77" s="25" t="str">
        <f>IF($A77="","",IFERROR(INDEX('Inventario General'!$B$5:$B$304,MATCH($A77,'Inventario General'!$A$5:$A$304,0))&amp;"","No está en el inventario"))</f>
        <v/>
      </c>
      <c r="C77" s="26"/>
      <c r="D77" s="51"/>
      <c r="E77" s="26"/>
      <c r="F77" s="26"/>
      <c r="G77" s="27"/>
      <c r="H77" s="27"/>
      <c r="I77" s="26"/>
      <c r="J77" s="25" t="str">
        <f t="shared" si="2"/>
        <v/>
      </c>
      <c r="K77" s="26"/>
    </row>
    <row r="78" spans="1:11" x14ac:dyDescent="0.25">
      <c r="A78" s="26"/>
      <c r="B78" s="25" t="str">
        <f>IF($A78="","",IFERROR(INDEX('Inventario General'!$B$5:$B$304,MATCH($A78,'Inventario General'!$A$5:$A$304,0))&amp;"","No está en el inventario"))</f>
        <v/>
      </c>
      <c r="C78" s="26"/>
      <c r="D78" s="51"/>
      <c r="E78" s="26"/>
      <c r="F78" s="26"/>
      <c r="G78" s="27"/>
      <c r="H78" s="27"/>
      <c r="I78" s="26"/>
      <c r="J78" s="25" t="str">
        <f t="shared" si="2"/>
        <v/>
      </c>
      <c r="K78" s="26"/>
    </row>
    <row r="79" spans="1:11" x14ac:dyDescent="0.25">
      <c r="A79" s="26"/>
      <c r="B79" s="25" t="str">
        <f>IF($A79="","",IFERROR(INDEX('Inventario General'!$B$5:$B$304,MATCH($A79,'Inventario General'!$A$5:$A$304,0))&amp;"","No está en el inventario"))</f>
        <v/>
      </c>
      <c r="C79" s="26"/>
      <c r="D79" s="51"/>
      <c r="E79" s="26"/>
      <c r="F79" s="26"/>
      <c r="G79" s="27"/>
      <c r="H79" s="27"/>
      <c r="I79" s="26"/>
      <c r="J79" s="25" t="str">
        <f t="shared" si="2"/>
        <v/>
      </c>
      <c r="K79" s="26"/>
    </row>
    <row r="80" spans="1:11" x14ac:dyDescent="0.25">
      <c r="A80" s="26"/>
      <c r="B80" s="25" t="str">
        <f>IF($A80="","",IFERROR(INDEX('Inventario General'!$B$5:$B$304,MATCH($A80,'Inventario General'!$A$5:$A$304,0))&amp;"","No está en el inventario"))</f>
        <v/>
      </c>
      <c r="C80" s="26"/>
      <c r="D80" s="51"/>
      <c r="E80" s="26"/>
      <c r="F80" s="26"/>
      <c r="G80" s="27"/>
      <c r="H80" s="27"/>
      <c r="I80" s="26"/>
      <c r="J80" s="25" t="str">
        <f t="shared" si="2"/>
        <v/>
      </c>
      <c r="K80" s="26"/>
    </row>
    <row r="81" spans="1:11" x14ac:dyDescent="0.25">
      <c r="A81" s="26"/>
      <c r="B81" s="25" t="str">
        <f>IF($A81="","",IFERROR(INDEX('Inventario General'!$B$5:$B$304,MATCH($A81,'Inventario General'!$A$5:$A$304,0))&amp;"","No está en el inventario"))</f>
        <v/>
      </c>
      <c r="C81" s="26"/>
      <c r="D81" s="51"/>
      <c r="E81" s="26"/>
      <c r="F81" s="26"/>
      <c r="G81" s="27"/>
      <c r="H81" s="27"/>
      <c r="I81" s="26"/>
      <c r="J81" s="25" t="str">
        <f t="shared" si="2"/>
        <v/>
      </c>
      <c r="K81" s="26"/>
    </row>
    <row r="82" spans="1:11" x14ac:dyDescent="0.25">
      <c r="A82" s="26"/>
      <c r="B82" s="25" t="str">
        <f>IF($A82="","",IFERROR(INDEX('Inventario General'!$B$5:$B$304,MATCH($A82,'Inventario General'!$A$5:$A$304,0))&amp;"","No está en el inventario"))</f>
        <v/>
      </c>
      <c r="C82" s="26"/>
      <c r="D82" s="51"/>
      <c r="E82" s="26"/>
      <c r="F82" s="26"/>
      <c r="G82" s="27"/>
      <c r="H82" s="27"/>
      <c r="I82" s="26"/>
      <c r="J82" s="25" t="str">
        <f t="shared" si="2"/>
        <v/>
      </c>
      <c r="K82" s="26"/>
    </row>
    <row r="83" spans="1:11" x14ac:dyDescent="0.25">
      <c r="A83" s="26"/>
      <c r="B83" s="25" t="str">
        <f>IF($A83="","",IFERROR(INDEX('Inventario General'!$B$5:$B$304,MATCH($A83,'Inventario General'!$A$5:$A$304,0))&amp;"","No está en el inventario"))</f>
        <v/>
      </c>
      <c r="C83" s="26"/>
      <c r="D83" s="51"/>
      <c r="E83" s="26"/>
      <c r="F83" s="26"/>
      <c r="G83" s="27"/>
      <c r="H83" s="27"/>
      <c r="I83" s="26"/>
      <c r="J83" s="25" t="str">
        <f t="shared" si="2"/>
        <v/>
      </c>
      <c r="K83" s="26"/>
    </row>
    <row r="84" spans="1:11" x14ac:dyDescent="0.25">
      <c r="A84" s="26"/>
      <c r="B84" s="25" t="str">
        <f>IF($A84="","",IFERROR(INDEX('Inventario General'!$B$5:$B$304,MATCH($A84,'Inventario General'!$A$5:$A$304,0))&amp;"","No está en el inventario"))</f>
        <v/>
      </c>
      <c r="C84" s="26"/>
      <c r="D84" s="51"/>
      <c r="E84" s="26"/>
      <c r="F84" s="26"/>
      <c r="G84" s="27"/>
      <c r="H84" s="27"/>
      <c r="I84" s="26"/>
      <c r="J84" s="25" t="str">
        <f t="shared" si="2"/>
        <v/>
      </c>
      <c r="K84" s="26"/>
    </row>
    <row r="85" spans="1:11" x14ac:dyDescent="0.25">
      <c r="A85" s="26"/>
      <c r="B85" s="25" t="str">
        <f>IF($A85="","",IFERROR(INDEX('Inventario General'!$B$5:$B$304,MATCH($A85,'Inventario General'!$A$5:$A$304,0))&amp;"","No está en el inventario"))</f>
        <v/>
      </c>
      <c r="C85" s="26"/>
      <c r="D85" s="51"/>
      <c r="E85" s="26"/>
      <c r="F85" s="26"/>
      <c r="G85" s="27"/>
      <c r="H85" s="27"/>
      <c r="I85" s="26"/>
      <c r="J85" s="25" t="str">
        <f t="shared" si="2"/>
        <v/>
      </c>
      <c r="K85" s="26"/>
    </row>
    <row r="86" spans="1:11" x14ac:dyDescent="0.25">
      <c r="A86" s="26"/>
      <c r="B86" s="25" t="str">
        <f>IF($A86="","",IFERROR(INDEX('Inventario General'!$B$5:$B$304,MATCH($A86,'Inventario General'!$A$5:$A$304,0))&amp;"","No está en el inventario"))</f>
        <v/>
      </c>
      <c r="C86" s="26"/>
      <c r="D86" s="51"/>
      <c r="E86" s="26"/>
      <c r="F86" s="26"/>
      <c r="G86" s="27"/>
      <c r="H86" s="27"/>
      <c r="I86" s="26"/>
      <c r="J86" s="25" t="str">
        <f t="shared" si="2"/>
        <v/>
      </c>
      <c r="K86" s="26"/>
    </row>
    <row r="87" spans="1:11" x14ac:dyDescent="0.25">
      <c r="A87" s="26"/>
      <c r="B87" s="25" t="str">
        <f>IF($A87="","",IFERROR(INDEX('Inventario General'!$B$5:$B$304,MATCH($A87,'Inventario General'!$A$5:$A$304,0))&amp;"","No está en el inventario"))</f>
        <v/>
      </c>
      <c r="C87" s="26"/>
      <c r="D87" s="51"/>
      <c r="E87" s="26"/>
      <c r="F87" s="26"/>
      <c r="G87" s="27"/>
      <c r="H87" s="27"/>
      <c r="I87" s="26"/>
      <c r="J87" s="25" t="str">
        <f t="shared" si="2"/>
        <v/>
      </c>
      <c r="K87" s="26"/>
    </row>
    <row r="88" spans="1:11" x14ac:dyDescent="0.25">
      <c r="A88" s="26"/>
      <c r="B88" s="25" t="str">
        <f>IF($A88="","",IFERROR(INDEX('Inventario General'!$B$5:$B$304,MATCH($A88,'Inventario General'!$A$5:$A$304,0))&amp;"","No está en el inventario"))</f>
        <v/>
      </c>
      <c r="C88" s="26"/>
      <c r="D88" s="51"/>
      <c r="E88" s="26"/>
      <c r="F88" s="26"/>
      <c r="G88" s="27"/>
      <c r="H88" s="27"/>
      <c r="I88" s="26"/>
      <c r="J88" s="25" t="str">
        <f t="shared" si="2"/>
        <v/>
      </c>
      <c r="K88" s="26"/>
    </row>
    <row r="89" spans="1:11" x14ac:dyDescent="0.25">
      <c r="A89" s="26"/>
      <c r="B89" s="25" t="str">
        <f>IF($A89="","",IFERROR(INDEX('Inventario General'!$B$5:$B$304,MATCH($A89,'Inventario General'!$A$5:$A$304,0))&amp;"","No está en el inventario"))</f>
        <v/>
      </c>
      <c r="C89" s="26"/>
      <c r="D89" s="51"/>
      <c r="E89" s="26"/>
      <c r="F89" s="26"/>
      <c r="G89" s="27"/>
      <c r="H89" s="27"/>
      <c r="I89" s="26"/>
      <c r="J89" s="25" t="str">
        <f t="shared" si="2"/>
        <v/>
      </c>
      <c r="K89" s="26"/>
    </row>
    <row r="90" spans="1:11" x14ac:dyDescent="0.25">
      <c r="A90" s="26"/>
      <c r="B90" s="25" t="str">
        <f>IF($A90="","",IFERROR(INDEX('Inventario General'!$B$5:$B$304,MATCH($A90,'Inventario General'!$A$5:$A$304,0))&amp;"","No está en el inventario"))</f>
        <v/>
      </c>
      <c r="C90" s="26"/>
      <c r="D90" s="51"/>
      <c r="E90" s="26"/>
      <c r="F90" s="26"/>
      <c r="G90" s="27"/>
      <c r="H90" s="27"/>
      <c r="I90" s="26"/>
      <c r="J90" s="25" t="str">
        <f t="shared" si="2"/>
        <v/>
      </c>
      <c r="K90" s="26"/>
    </row>
    <row r="91" spans="1:11" x14ac:dyDescent="0.25">
      <c r="A91" s="26"/>
      <c r="B91" s="25" t="str">
        <f>IF($A91="","",IFERROR(INDEX('Inventario General'!$B$5:$B$304,MATCH($A91,'Inventario General'!$A$5:$A$304,0))&amp;"","No está en el inventario"))</f>
        <v/>
      </c>
      <c r="C91" s="26"/>
      <c r="D91" s="51"/>
      <c r="E91" s="26"/>
      <c r="F91" s="26"/>
      <c r="G91" s="27"/>
      <c r="H91" s="27"/>
      <c r="I91" s="26"/>
      <c r="J91" s="25" t="str">
        <f t="shared" si="2"/>
        <v/>
      </c>
      <c r="K91" s="26"/>
    </row>
    <row r="92" spans="1:11" x14ac:dyDescent="0.25">
      <c r="A92" s="26"/>
      <c r="B92" s="25" t="str">
        <f>IF($A92="","",IFERROR(INDEX('Inventario General'!$B$5:$B$304,MATCH($A92,'Inventario General'!$A$5:$A$304,0))&amp;"","No está en el inventario"))</f>
        <v/>
      </c>
      <c r="C92" s="26"/>
      <c r="D92" s="51"/>
      <c r="E92" s="26"/>
      <c r="F92" s="26"/>
      <c r="G92" s="27"/>
      <c r="H92" s="27"/>
      <c r="I92" s="26"/>
      <c r="J92" s="25" t="str">
        <f t="shared" si="2"/>
        <v/>
      </c>
      <c r="K92" s="26"/>
    </row>
    <row r="93" spans="1:11" x14ac:dyDescent="0.25">
      <c r="A93" s="26"/>
      <c r="B93" s="25" t="str">
        <f>IF($A93="","",IFERROR(INDEX('Inventario General'!$B$5:$B$304,MATCH($A93,'Inventario General'!$A$5:$A$304,0))&amp;"","No está en el inventario"))</f>
        <v/>
      </c>
      <c r="C93" s="26"/>
      <c r="D93" s="51"/>
      <c r="E93" s="26"/>
      <c r="F93" s="26"/>
      <c r="G93" s="27"/>
      <c r="H93" s="27"/>
      <c r="I93" s="26"/>
      <c r="J93" s="25" t="str">
        <f t="shared" si="2"/>
        <v/>
      </c>
      <c r="K93" s="26"/>
    </row>
    <row r="94" spans="1:11" x14ac:dyDescent="0.25">
      <c r="A94" s="26"/>
      <c r="B94" s="25" t="str">
        <f>IF($A94="","",IFERROR(INDEX('Inventario General'!$B$5:$B$304,MATCH($A94,'Inventario General'!$A$5:$A$304,0))&amp;"","No está en el inventario"))</f>
        <v/>
      </c>
      <c r="C94" s="26"/>
      <c r="D94" s="51"/>
      <c r="E94" s="26"/>
      <c r="F94" s="26"/>
      <c r="G94" s="27"/>
      <c r="H94" s="27"/>
      <c r="I94" s="26"/>
      <c r="J94" s="25" t="str">
        <f t="shared" si="2"/>
        <v/>
      </c>
      <c r="K94" s="26"/>
    </row>
    <row r="95" spans="1:11" x14ac:dyDescent="0.25">
      <c r="A95" s="26"/>
      <c r="B95" s="25" t="str">
        <f>IF($A95="","",IFERROR(INDEX('Inventario General'!$B$5:$B$304,MATCH($A95,'Inventario General'!$A$5:$A$304,0))&amp;"","No está en el inventario"))</f>
        <v/>
      </c>
      <c r="C95" s="26"/>
      <c r="D95" s="51"/>
      <c r="E95" s="26"/>
      <c r="F95" s="26"/>
      <c r="G95" s="27"/>
      <c r="H95" s="27"/>
      <c r="I95" s="26"/>
      <c r="J95" s="25" t="str">
        <f t="shared" si="2"/>
        <v/>
      </c>
      <c r="K95" s="26"/>
    </row>
    <row r="96" spans="1:11" x14ac:dyDescent="0.25">
      <c r="A96" s="26"/>
      <c r="B96" s="25" t="str">
        <f>IF($A96="","",IFERROR(INDEX('Inventario General'!$B$5:$B$304,MATCH($A96,'Inventario General'!$A$5:$A$304,0))&amp;"","No está en el inventario"))</f>
        <v/>
      </c>
      <c r="C96" s="26"/>
      <c r="D96" s="51"/>
      <c r="E96" s="26"/>
      <c r="F96" s="26"/>
      <c r="G96" s="27"/>
      <c r="H96" s="27"/>
      <c r="I96" s="26"/>
      <c r="J96" s="25" t="str">
        <f t="shared" si="2"/>
        <v/>
      </c>
      <c r="K96" s="26"/>
    </row>
    <row r="97" spans="1:11" x14ac:dyDescent="0.25">
      <c r="A97" s="26"/>
      <c r="B97" s="25" t="str">
        <f>IF($A97="","",IFERROR(INDEX('Inventario General'!$B$5:$B$304,MATCH($A97,'Inventario General'!$A$5:$A$304,0))&amp;"","No está en el inventario"))</f>
        <v/>
      </c>
      <c r="C97" s="26"/>
      <c r="D97" s="51"/>
      <c r="E97" s="26"/>
      <c r="F97" s="26"/>
      <c r="G97" s="27"/>
      <c r="H97" s="27"/>
      <c r="I97" s="26"/>
      <c r="J97" s="25" t="str">
        <f t="shared" si="2"/>
        <v/>
      </c>
      <c r="K97" s="26"/>
    </row>
    <row r="98" spans="1:11" x14ac:dyDescent="0.25">
      <c r="A98" s="26"/>
      <c r="B98" s="25" t="str">
        <f>IF($A98="","",IFERROR(INDEX('Inventario General'!$B$5:$B$304,MATCH($A98,'Inventario General'!$A$5:$A$304,0))&amp;"","No está en el inventario"))</f>
        <v/>
      </c>
      <c r="C98" s="26"/>
      <c r="D98" s="51"/>
      <c r="E98" s="26"/>
      <c r="F98" s="26"/>
      <c r="G98" s="27"/>
      <c r="H98" s="27"/>
      <c r="I98" s="26"/>
      <c r="J98" s="25" t="str">
        <f t="shared" si="2"/>
        <v/>
      </c>
      <c r="K98" s="26"/>
    </row>
    <row r="99" spans="1:11" x14ac:dyDescent="0.25">
      <c r="A99" s="26"/>
      <c r="B99" s="25" t="str">
        <f>IF($A99="","",IFERROR(INDEX('Inventario General'!$B$5:$B$304,MATCH($A99,'Inventario General'!$A$5:$A$304,0))&amp;"","No está en el inventario"))</f>
        <v/>
      </c>
      <c r="C99" s="26"/>
      <c r="D99" s="51"/>
      <c r="E99" s="26"/>
      <c r="F99" s="26"/>
      <c r="G99" s="27"/>
      <c r="H99" s="27"/>
      <c r="I99" s="26"/>
      <c r="J99" s="25" t="str">
        <f t="shared" si="2"/>
        <v/>
      </c>
      <c r="K99" s="26"/>
    </row>
    <row r="100" spans="1:11" x14ac:dyDescent="0.25">
      <c r="A100" s="26"/>
      <c r="B100" s="25" t="str">
        <f>IF($A100="","",IFERROR(INDEX('Inventario General'!$B$5:$B$304,MATCH($A100,'Inventario General'!$A$5:$A$304,0))&amp;"","No está en el inventario"))</f>
        <v/>
      </c>
      <c r="C100" s="26"/>
      <c r="D100" s="51"/>
      <c r="E100" s="26"/>
      <c r="F100" s="26"/>
      <c r="G100" s="27"/>
      <c r="H100" s="27"/>
      <c r="I100" s="26"/>
      <c r="J100" s="25" t="str">
        <f t="shared" si="2"/>
        <v/>
      </c>
      <c r="K100" s="26"/>
    </row>
    <row r="101" spans="1:11" x14ac:dyDescent="0.25">
      <c r="A101" s="26"/>
      <c r="B101" s="25" t="str">
        <f>IF($A101="","",IFERROR(INDEX('Inventario General'!$B$5:$B$304,MATCH($A101,'Inventario General'!$A$5:$A$304,0))&amp;"","No está en el inventario"))</f>
        <v/>
      </c>
      <c r="C101" s="26"/>
      <c r="D101" s="51"/>
      <c r="E101" s="26"/>
      <c r="F101" s="26"/>
      <c r="G101" s="27"/>
      <c r="H101" s="27"/>
      <c r="I101" s="26"/>
      <c r="J101" s="25" t="str">
        <f t="shared" ref="J101:J132" si="3">IF(G101="","",IF(H101="","Vigente","Devuelto"))</f>
        <v/>
      </c>
      <c r="K101" s="26"/>
    </row>
    <row r="102" spans="1:11" x14ac:dyDescent="0.25">
      <c r="A102" s="26"/>
      <c r="B102" s="25" t="str">
        <f>IF($A102="","",IFERROR(INDEX('Inventario General'!$B$5:$B$304,MATCH($A102,'Inventario General'!$A$5:$A$304,0))&amp;"","No está en el inventario"))</f>
        <v/>
      </c>
      <c r="C102" s="26"/>
      <c r="D102" s="51"/>
      <c r="E102" s="26"/>
      <c r="F102" s="26"/>
      <c r="G102" s="27"/>
      <c r="H102" s="27"/>
      <c r="I102" s="26"/>
      <c r="J102" s="25" t="str">
        <f t="shared" si="3"/>
        <v/>
      </c>
      <c r="K102" s="26"/>
    </row>
    <row r="103" spans="1:11" x14ac:dyDescent="0.25">
      <c r="A103" s="26"/>
      <c r="B103" s="25" t="str">
        <f>IF($A103="","",IFERROR(INDEX('Inventario General'!$B$5:$B$304,MATCH($A103,'Inventario General'!$A$5:$A$304,0))&amp;"","No está en el inventario"))</f>
        <v/>
      </c>
      <c r="C103" s="26"/>
      <c r="D103" s="51"/>
      <c r="E103" s="26"/>
      <c r="F103" s="26"/>
      <c r="G103" s="27"/>
      <c r="H103" s="27"/>
      <c r="I103" s="26"/>
      <c r="J103" s="25" t="str">
        <f t="shared" si="3"/>
        <v/>
      </c>
      <c r="K103" s="26"/>
    </row>
    <row r="104" spans="1:11" x14ac:dyDescent="0.25">
      <c r="A104" s="26"/>
      <c r="B104" s="25" t="str">
        <f>IF($A104="","",IFERROR(INDEX('Inventario General'!$B$5:$B$304,MATCH($A104,'Inventario General'!$A$5:$A$304,0))&amp;"","No está en el inventario"))</f>
        <v/>
      </c>
      <c r="C104" s="26"/>
      <c r="D104" s="51"/>
      <c r="E104" s="26"/>
      <c r="F104" s="26"/>
      <c r="G104" s="27"/>
      <c r="H104" s="27"/>
      <c r="I104" s="26"/>
      <c r="J104" s="25" t="str">
        <f t="shared" si="3"/>
        <v/>
      </c>
      <c r="K104" s="26"/>
    </row>
    <row r="105" spans="1:11" x14ac:dyDescent="0.25">
      <c r="A105" s="26"/>
      <c r="B105" s="25" t="str">
        <f>IF($A105="","",IFERROR(INDEX('Inventario General'!$B$5:$B$304,MATCH($A105,'Inventario General'!$A$5:$A$304,0))&amp;"","No está en el inventario"))</f>
        <v/>
      </c>
      <c r="C105" s="26"/>
      <c r="D105" s="51"/>
      <c r="E105" s="26"/>
      <c r="F105" s="26"/>
      <c r="G105" s="27"/>
      <c r="H105" s="27"/>
      <c r="I105" s="26"/>
      <c r="J105" s="25" t="str">
        <f t="shared" si="3"/>
        <v/>
      </c>
      <c r="K105" s="26"/>
    </row>
    <row r="106" spans="1:11" x14ac:dyDescent="0.25">
      <c r="A106" s="26"/>
      <c r="B106" s="25" t="str">
        <f>IF($A106="","",IFERROR(INDEX('Inventario General'!$B$5:$B$304,MATCH($A106,'Inventario General'!$A$5:$A$304,0))&amp;"","No está en el inventario"))</f>
        <v/>
      </c>
      <c r="C106" s="26"/>
      <c r="D106" s="51"/>
      <c r="E106" s="26"/>
      <c r="F106" s="26"/>
      <c r="G106" s="27"/>
      <c r="H106" s="27"/>
      <c r="I106" s="26"/>
      <c r="J106" s="25" t="str">
        <f t="shared" si="3"/>
        <v/>
      </c>
      <c r="K106" s="26"/>
    </row>
    <row r="107" spans="1:11" x14ac:dyDescent="0.25">
      <c r="A107" s="26"/>
      <c r="B107" s="25" t="str">
        <f>IF($A107="","",IFERROR(INDEX('Inventario General'!$B$5:$B$304,MATCH($A107,'Inventario General'!$A$5:$A$304,0))&amp;"","No está en el inventario"))</f>
        <v/>
      </c>
      <c r="C107" s="26"/>
      <c r="D107" s="51"/>
      <c r="E107" s="26"/>
      <c r="F107" s="26"/>
      <c r="G107" s="27"/>
      <c r="H107" s="27"/>
      <c r="I107" s="26"/>
      <c r="J107" s="25" t="str">
        <f t="shared" si="3"/>
        <v/>
      </c>
      <c r="K107" s="26"/>
    </row>
    <row r="108" spans="1:11" x14ac:dyDescent="0.25">
      <c r="A108" s="26"/>
      <c r="B108" s="25" t="str">
        <f>IF($A108="","",IFERROR(INDEX('Inventario General'!$B$5:$B$304,MATCH($A108,'Inventario General'!$A$5:$A$304,0))&amp;"","No está en el inventario"))</f>
        <v/>
      </c>
      <c r="C108" s="26"/>
      <c r="D108" s="51"/>
      <c r="E108" s="26"/>
      <c r="F108" s="26"/>
      <c r="G108" s="27"/>
      <c r="H108" s="27"/>
      <c r="I108" s="26"/>
      <c r="J108" s="25" t="str">
        <f t="shared" si="3"/>
        <v/>
      </c>
      <c r="K108" s="26"/>
    </row>
    <row r="109" spans="1:11" x14ac:dyDescent="0.25">
      <c r="A109" s="26"/>
      <c r="B109" s="25" t="str">
        <f>IF($A109="","",IFERROR(INDEX('Inventario General'!$B$5:$B$304,MATCH($A109,'Inventario General'!$A$5:$A$304,0))&amp;"","No está en el inventario"))</f>
        <v/>
      </c>
      <c r="C109" s="26"/>
      <c r="D109" s="51"/>
      <c r="E109" s="26"/>
      <c r="F109" s="26"/>
      <c r="G109" s="27"/>
      <c r="H109" s="27"/>
      <c r="I109" s="26"/>
      <c r="J109" s="25" t="str">
        <f t="shared" si="3"/>
        <v/>
      </c>
      <c r="K109" s="26"/>
    </row>
    <row r="110" spans="1:11" x14ac:dyDescent="0.25">
      <c r="A110" s="26"/>
      <c r="B110" s="25" t="str">
        <f>IF($A110="","",IFERROR(INDEX('Inventario General'!$B$5:$B$304,MATCH($A110,'Inventario General'!$A$5:$A$304,0))&amp;"","No está en el inventario"))</f>
        <v/>
      </c>
      <c r="C110" s="26"/>
      <c r="D110" s="51"/>
      <c r="E110" s="26"/>
      <c r="F110" s="26"/>
      <c r="G110" s="27"/>
      <c r="H110" s="27"/>
      <c r="I110" s="26"/>
      <c r="J110" s="25" t="str">
        <f t="shared" si="3"/>
        <v/>
      </c>
      <c r="K110" s="26"/>
    </row>
    <row r="111" spans="1:11" x14ac:dyDescent="0.25">
      <c r="A111" s="26"/>
      <c r="B111" s="25" t="str">
        <f>IF($A111="","",IFERROR(INDEX('Inventario General'!$B$5:$B$304,MATCH($A111,'Inventario General'!$A$5:$A$304,0))&amp;"","No está en el inventario"))</f>
        <v/>
      </c>
      <c r="C111" s="26"/>
      <c r="D111" s="51"/>
      <c r="E111" s="26"/>
      <c r="F111" s="26"/>
      <c r="G111" s="27"/>
      <c r="H111" s="27"/>
      <c r="I111" s="26"/>
      <c r="J111" s="25" t="str">
        <f t="shared" si="3"/>
        <v/>
      </c>
      <c r="K111" s="26"/>
    </row>
    <row r="112" spans="1:11" x14ac:dyDescent="0.25">
      <c r="A112" s="26"/>
      <c r="B112" s="25" t="str">
        <f>IF($A112="","",IFERROR(INDEX('Inventario General'!$B$5:$B$304,MATCH($A112,'Inventario General'!$A$5:$A$304,0))&amp;"","No está en el inventario"))</f>
        <v/>
      </c>
      <c r="C112" s="26"/>
      <c r="D112" s="51"/>
      <c r="E112" s="26"/>
      <c r="F112" s="26"/>
      <c r="G112" s="27"/>
      <c r="H112" s="27"/>
      <c r="I112" s="26"/>
      <c r="J112" s="25" t="str">
        <f t="shared" si="3"/>
        <v/>
      </c>
      <c r="K112" s="26"/>
    </row>
    <row r="113" spans="1:11" x14ac:dyDescent="0.25">
      <c r="A113" s="26"/>
      <c r="B113" s="25" t="str">
        <f>IF($A113="","",IFERROR(INDEX('Inventario General'!$B$5:$B$304,MATCH($A113,'Inventario General'!$A$5:$A$304,0))&amp;"","No está en el inventario"))</f>
        <v/>
      </c>
      <c r="C113" s="26"/>
      <c r="D113" s="51"/>
      <c r="E113" s="26"/>
      <c r="F113" s="26"/>
      <c r="G113" s="27"/>
      <c r="H113" s="27"/>
      <c r="I113" s="26"/>
      <c r="J113" s="25" t="str">
        <f t="shared" si="3"/>
        <v/>
      </c>
      <c r="K113" s="26"/>
    </row>
    <row r="114" spans="1:11" x14ac:dyDescent="0.25">
      <c r="A114" s="26"/>
      <c r="B114" s="25" t="str">
        <f>IF($A114="","",IFERROR(INDEX('Inventario General'!$B$5:$B$304,MATCH($A114,'Inventario General'!$A$5:$A$304,0))&amp;"","No está en el inventario"))</f>
        <v/>
      </c>
      <c r="C114" s="26"/>
      <c r="D114" s="51"/>
      <c r="E114" s="26"/>
      <c r="F114" s="26"/>
      <c r="G114" s="27"/>
      <c r="H114" s="27"/>
      <c r="I114" s="26"/>
      <c r="J114" s="25" t="str">
        <f t="shared" si="3"/>
        <v/>
      </c>
      <c r="K114" s="26"/>
    </row>
    <row r="115" spans="1:11" x14ac:dyDescent="0.25">
      <c r="A115" s="26"/>
      <c r="B115" s="25" t="str">
        <f>IF($A115="","",IFERROR(INDEX('Inventario General'!$B$5:$B$304,MATCH($A115,'Inventario General'!$A$5:$A$304,0))&amp;"","No está en el inventario"))</f>
        <v/>
      </c>
      <c r="C115" s="26"/>
      <c r="D115" s="51"/>
      <c r="E115" s="26"/>
      <c r="F115" s="26"/>
      <c r="G115" s="27"/>
      <c r="H115" s="27"/>
      <c r="I115" s="26"/>
      <c r="J115" s="25" t="str">
        <f t="shared" si="3"/>
        <v/>
      </c>
      <c r="K115" s="26"/>
    </row>
    <row r="116" spans="1:11" x14ac:dyDescent="0.25">
      <c r="A116" s="26"/>
      <c r="B116" s="25" t="str">
        <f>IF($A116="","",IFERROR(INDEX('Inventario General'!$B$5:$B$304,MATCH($A116,'Inventario General'!$A$5:$A$304,0))&amp;"","No está en el inventario"))</f>
        <v/>
      </c>
      <c r="C116" s="26"/>
      <c r="D116" s="51"/>
      <c r="E116" s="26"/>
      <c r="F116" s="26"/>
      <c r="G116" s="27"/>
      <c r="H116" s="27"/>
      <c r="I116" s="26"/>
      <c r="J116" s="25" t="str">
        <f t="shared" si="3"/>
        <v/>
      </c>
      <c r="K116" s="26"/>
    </row>
    <row r="117" spans="1:11" x14ac:dyDescent="0.25">
      <c r="A117" s="26"/>
      <c r="B117" s="25" t="str">
        <f>IF($A117="","",IFERROR(INDEX('Inventario General'!$B$5:$B$304,MATCH($A117,'Inventario General'!$A$5:$A$304,0))&amp;"","No está en el inventario"))</f>
        <v/>
      </c>
      <c r="C117" s="26"/>
      <c r="D117" s="51"/>
      <c r="E117" s="26"/>
      <c r="F117" s="26"/>
      <c r="G117" s="27"/>
      <c r="H117" s="27"/>
      <c r="I117" s="26"/>
      <c r="J117" s="25" t="str">
        <f t="shared" si="3"/>
        <v/>
      </c>
      <c r="K117" s="26"/>
    </row>
    <row r="118" spans="1:11" x14ac:dyDescent="0.25">
      <c r="A118" s="26"/>
      <c r="B118" s="25" t="str">
        <f>IF($A118="","",IFERROR(INDEX('Inventario General'!$B$5:$B$304,MATCH($A118,'Inventario General'!$A$5:$A$304,0))&amp;"","No está en el inventario"))</f>
        <v/>
      </c>
      <c r="C118" s="26"/>
      <c r="D118" s="51"/>
      <c r="E118" s="26"/>
      <c r="F118" s="26"/>
      <c r="G118" s="27"/>
      <c r="H118" s="27"/>
      <c r="I118" s="26"/>
      <c r="J118" s="25" t="str">
        <f t="shared" si="3"/>
        <v/>
      </c>
      <c r="K118" s="26"/>
    </row>
    <row r="119" spans="1:11" x14ac:dyDescent="0.25">
      <c r="A119" s="26"/>
      <c r="B119" s="25" t="str">
        <f>IF($A119="","",IFERROR(INDEX('Inventario General'!$B$5:$B$304,MATCH($A119,'Inventario General'!$A$5:$A$304,0))&amp;"","No está en el inventario"))</f>
        <v/>
      </c>
      <c r="C119" s="26"/>
      <c r="D119" s="51"/>
      <c r="E119" s="26"/>
      <c r="F119" s="26"/>
      <c r="G119" s="27"/>
      <c r="H119" s="27"/>
      <c r="I119" s="26"/>
      <c r="J119" s="25" t="str">
        <f t="shared" si="3"/>
        <v/>
      </c>
      <c r="K119" s="26"/>
    </row>
    <row r="120" spans="1:11" x14ac:dyDescent="0.25">
      <c r="A120" s="26"/>
      <c r="B120" s="25" t="str">
        <f>IF($A120="","",IFERROR(INDEX('Inventario General'!$B$5:$B$304,MATCH($A120,'Inventario General'!$A$5:$A$304,0))&amp;"","No está en el inventario"))</f>
        <v/>
      </c>
      <c r="C120" s="26"/>
      <c r="D120" s="51"/>
      <c r="E120" s="26"/>
      <c r="F120" s="26"/>
      <c r="G120" s="27"/>
      <c r="H120" s="27"/>
      <c r="I120" s="26"/>
      <c r="J120" s="25" t="str">
        <f t="shared" si="3"/>
        <v/>
      </c>
      <c r="K120" s="26"/>
    </row>
    <row r="121" spans="1:11" x14ac:dyDescent="0.25">
      <c r="A121" s="26"/>
      <c r="B121" s="25" t="str">
        <f>IF($A121="","",IFERROR(INDEX('Inventario General'!$B$5:$B$304,MATCH($A121,'Inventario General'!$A$5:$A$304,0))&amp;"","No está en el inventario"))</f>
        <v/>
      </c>
      <c r="C121" s="26"/>
      <c r="D121" s="51"/>
      <c r="E121" s="26"/>
      <c r="F121" s="26"/>
      <c r="G121" s="27"/>
      <c r="H121" s="27"/>
      <c r="I121" s="26"/>
      <c r="J121" s="25" t="str">
        <f t="shared" si="3"/>
        <v/>
      </c>
      <c r="K121" s="26"/>
    </row>
    <row r="122" spans="1:11" x14ac:dyDescent="0.25">
      <c r="A122" s="26"/>
      <c r="B122" s="25" t="str">
        <f>IF($A122="","",IFERROR(INDEX('Inventario General'!$B$5:$B$304,MATCH($A122,'Inventario General'!$A$5:$A$304,0))&amp;"","No está en el inventario"))</f>
        <v/>
      </c>
      <c r="C122" s="26"/>
      <c r="D122" s="51"/>
      <c r="E122" s="26"/>
      <c r="F122" s="26"/>
      <c r="G122" s="27"/>
      <c r="H122" s="27"/>
      <c r="I122" s="26"/>
      <c r="J122" s="25" t="str">
        <f t="shared" si="3"/>
        <v/>
      </c>
      <c r="K122" s="26"/>
    </row>
    <row r="123" spans="1:11" x14ac:dyDescent="0.25">
      <c r="A123" s="26"/>
      <c r="B123" s="25" t="str">
        <f>IF($A123="","",IFERROR(INDEX('Inventario General'!$B$5:$B$304,MATCH($A123,'Inventario General'!$A$5:$A$304,0))&amp;"","No está en el inventario"))</f>
        <v/>
      </c>
      <c r="C123" s="26"/>
      <c r="D123" s="51"/>
      <c r="E123" s="26"/>
      <c r="F123" s="26"/>
      <c r="G123" s="27"/>
      <c r="H123" s="27"/>
      <c r="I123" s="26"/>
      <c r="J123" s="25" t="str">
        <f t="shared" si="3"/>
        <v/>
      </c>
      <c r="K123" s="26"/>
    </row>
    <row r="124" spans="1:11" x14ac:dyDescent="0.25">
      <c r="A124" s="26"/>
      <c r="B124" s="25" t="str">
        <f>IF($A124="","",IFERROR(INDEX('Inventario General'!$B$5:$B$304,MATCH($A124,'Inventario General'!$A$5:$A$304,0))&amp;"","No está en el inventario"))</f>
        <v/>
      </c>
      <c r="C124" s="26"/>
      <c r="D124" s="51"/>
      <c r="E124" s="26"/>
      <c r="F124" s="26"/>
      <c r="G124" s="27"/>
      <c r="H124" s="27"/>
      <c r="I124" s="26"/>
      <c r="J124" s="25" t="str">
        <f t="shared" si="3"/>
        <v/>
      </c>
      <c r="K124" s="26"/>
    </row>
    <row r="125" spans="1:11" x14ac:dyDescent="0.25">
      <c r="A125" s="26"/>
      <c r="B125" s="25" t="str">
        <f>IF($A125="","",IFERROR(INDEX('Inventario General'!$B$5:$B$304,MATCH($A125,'Inventario General'!$A$5:$A$304,0))&amp;"","No está en el inventario"))</f>
        <v/>
      </c>
      <c r="C125" s="26"/>
      <c r="D125" s="51"/>
      <c r="E125" s="26"/>
      <c r="F125" s="26"/>
      <c r="G125" s="27"/>
      <c r="H125" s="27"/>
      <c r="I125" s="26"/>
      <c r="J125" s="25" t="str">
        <f t="shared" si="3"/>
        <v/>
      </c>
      <c r="K125" s="26"/>
    </row>
    <row r="126" spans="1:11" x14ac:dyDescent="0.25">
      <c r="A126" s="26"/>
      <c r="B126" s="25" t="str">
        <f>IF($A126="","",IFERROR(INDEX('Inventario General'!$B$5:$B$304,MATCH($A126,'Inventario General'!$A$5:$A$304,0))&amp;"","No está en el inventario"))</f>
        <v/>
      </c>
      <c r="C126" s="26"/>
      <c r="D126" s="51"/>
      <c r="E126" s="26"/>
      <c r="F126" s="26"/>
      <c r="G126" s="27"/>
      <c r="H126" s="27"/>
      <c r="I126" s="26"/>
      <c r="J126" s="25" t="str">
        <f t="shared" si="3"/>
        <v/>
      </c>
      <c r="K126" s="26"/>
    </row>
    <row r="127" spans="1:11" x14ac:dyDescent="0.25">
      <c r="A127" s="26"/>
      <c r="B127" s="25" t="str">
        <f>IF($A127="","",IFERROR(INDEX('Inventario General'!$B$5:$B$304,MATCH($A127,'Inventario General'!$A$5:$A$304,0))&amp;"","No está en el inventario"))</f>
        <v/>
      </c>
      <c r="C127" s="26"/>
      <c r="D127" s="51"/>
      <c r="E127" s="26"/>
      <c r="F127" s="26"/>
      <c r="G127" s="27"/>
      <c r="H127" s="27"/>
      <c r="I127" s="26"/>
      <c r="J127" s="25" t="str">
        <f t="shared" si="3"/>
        <v/>
      </c>
      <c r="K127" s="26"/>
    </row>
    <row r="128" spans="1:11" x14ac:dyDescent="0.25">
      <c r="A128" s="26"/>
      <c r="B128" s="25" t="str">
        <f>IF($A128="","",IFERROR(INDEX('Inventario General'!$B$5:$B$304,MATCH($A128,'Inventario General'!$A$5:$A$304,0))&amp;"","No está en el inventario"))</f>
        <v/>
      </c>
      <c r="C128" s="26"/>
      <c r="D128" s="51"/>
      <c r="E128" s="26"/>
      <c r="F128" s="26"/>
      <c r="G128" s="27"/>
      <c r="H128" s="27"/>
      <c r="I128" s="26"/>
      <c r="J128" s="25" t="str">
        <f t="shared" si="3"/>
        <v/>
      </c>
      <c r="K128" s="26"/>
    </row>
    <row r="129" spans="1:11" x14ac:dyDescent="0.25">
      <c r="A129" s="26"/>
      <c r="B129" s="25" t="str">
        <f>IF($A129="","",IFERROR(INDEX('Inventario General'!$B$5:$B$304,MATCH($A129,'Inventario General'!$A$5:$A$304,0))&amp;"","No está en el inventario"))</f>
        <v/>
      </c>
      <c r="C129" s="26"/>
      <c r="D129" s="51"/>
      <c r="E129" s="26"/>
      <c r="F129" s="26"/>
      <c r="G129" s="27"/>
      <c r="H129" s="27"/>
      <c r="I129" s="26"/>
      <c r="J129" s="25" t="str">
        <f t="shared" si="3"/>
        <v/>
      </c>
      <c r="K129" s="26"/>
    </row>
    <row r="130" spans="1:11" x14ac:dyDescent="0.25">
      <c r="A130" s="26"/>
      <c r="B130" s="25" t="str">
        <f>IF($A130="","",IFERROR(INDEX('Inventario General'!$B$5:$B$304,MATCH($A130,'Inventario General'!$A$5:$A$304,0))&amp;"","No está en el inventario"))</f>
        <v/>
      </c>
      <c r="C130" s="26"/>
      <c r="D130" s="51"/>
      <c r="E130" s="26"/>
      <c r="F130" s="26"/>
      <c r="G130" s="27"/>
      <c r="H130" s="27"/>
      <c r="I130" s="26"/>
      <c r="J130" s="25" t="str">
        <f t="shared" si="3"/>
        <v/>
      </c>
      <c r="K130" s="26"/>
    </row>
    <row r="131" spans="1:11" x14ac:dyDescent="0.25">
      <c r="A131" s="26"/>
      <c r="B131" s="25" t="str">
        <f>IF($A131="","",IFERROR(INDEX('Inventario General'!$B$5:$B$304,MATCH($A131,'Inventario General'!$A$5:$A$304,0))&amp;"","No está en el inventario"))</f>
        <v/>
      </c>
      <c r="C131" s="26"/>
      <c r="D131" s="51"/>
      <c r="E131" s="26"/>
      <c r="F131" s="26"/>
      <c r="G131" s="27"/>
      <c r="H131" s="27"/>
      <c r="I131" s="26"/>
      <c r="J131" s="25" t="str">
        <f t="shared" si="3"/>
        <v/>
      </c>
      <c r="K131" s="26"/>
    </row>
    <row r="132" spans="1:11" x14ac:dyDescent="0.25">
      <c r="A132" s="26"/>
      <c r="B132" s="25" t="str">
        <f>IF($A132="","",IFERROR(INDEX('Inventario General'!$B$5:$B$304,MATCH($A132,'Inventario General'!$A$5:$A$304,0))&amp;"","No está en el inventario"))</f>
        <v/>
      </c>
      <c r="C132" s="26"/>
      <c r="D132" s="51"/>
      <c r="E132" s="26"/>
      <c r="F132" s="26"/>
      <c r="G132" s="27"/>
      <c r="H132" s="27"/>
      <c r="I132" s="26"/>
      <c r="J132" s="25" t="str">
        <f t="shared" si="3"/>
        <v/>
      </c>
      <c r="K132" s="26"/>
    </row>
    <row r="133" spans="1:11" x14ac:dyDescent="0.25">
      <c r="A133" s="26"/>
      <c r="B133" s="25" t="str">
        <f>IF($A133="","",IFERROR(INDEX('Inventario General'!$B$5:$B$304,MATCH($A133,'Inventario General'!$A$5:$A$304,0))&amp;"","No está en el inventario"))</f>
        <v/>
      </c>
      <c r="C133" s="26"/>
      <c r="D133" s="51"/>
      <c r="E133" s="26"/>
      <c r="F133" s="26"/>
      <c r="G133" s="27"/>
      <c r="H133" s="27"/>
      <c r="I133" s="26"/>
      <c r="J133" s="25" t="str">
        <f t="shared" ref="J133:J164" si="4">IF(G133="","",IF(H133="","Vigente","Devuelto"))</f>
        <v/>
      </c>
      <c r="K133" s="26"/>
    </row>
    <row r="134" spans="1:11" x14ac:dyDescent="0.25">
      <c r="A134" s="26"/>
      <c r="B134" s="25" t="str">
        <f>IF($A134="","",IFERROR(INDEX('Inventario General'!$B$5:$B$304,MATCH($A134,'Inventario General'!$A$5:$A$304,0))&amp;"","No está en el inventario"))</f>
        <v/>
      </c>
      <c r="C134" s="26"/>
      <c r="D134" s="51"/>
      <c r="E134" s="26"/>
      <c r="F134" s="26"/>
      <c r="G134" s="27"/>
      <c r="H134" s="27"/>
      <c r="I134" s="26"/>
      <c r="J134" s="25" t="str">
        <f t="shared" si="4"/>
        <v/>
      </c>
      <c r="K134" s="26"/>
    </row>
    <row r="135" spans="1:11" x14ac:dyDescent="0.25">
      <c r="A135" s="26"/>
      <c r="B135" s="25" t="str">
        <f>IF($A135="","",IFERROR(INDEX('Inventario General'!$B$5:$B$304,MATCH($A135,'Inventario General'!$A$5:$A$304,0))&amp;"","No está en el inventario"))</f>
        <v/>
      </c>
      <c r="C135" s="26"/>
      <c r="D135" s="51"/>
      <c r="E135" s="26"/>
      <c r="F135" s="26"/>
      <c r="G135" s="27"/>
      <c r="H135" s="27"/>
      <c r="I135" s="26"/>
      <c r="J135" s="25" t="str">
        <f t="shared" si="4"/>
        <v/>
      </c>
      <c r="K135" s="26"/>
    </row>
    <row r="136" spans="1:11" x14ac:dyDescent="0.25">
      <c r="A136" s="26"/>
      <c r="B136" s="25" t="str">
        <f>IF($A136="","",IFERROR(INDEX('Inventario General'!$B$5:$B$304,MATCH($A136,'Inventario General'!$A$5:$A$304,0))&amp;"","No está en el inventario"))</f>
        <v/>
      </c>
      <c r="C136" s="26"/>
      <c r="D136" s="51"/>
      <c r="E136" s="26"/>
      <c r="F136" s="26"/>
      <c r="G136" s="27"/>
      <c r="H136" s="27"/>
      <c r="I136" s="26"/>
      <c r="J136" s="25" t="str">
        <f t="shared" si="4"/>
        <v/>
      </c>
      <c r="K136" s="26"/>
    </row>
    <row r="137" spans="1:11" x14ac:dyDescent="0.25">
      <c r="A137" s="26"/>
      <c r="B137" s="25" t="str">
        <f>IF($A137="","",IFERROR(INDEX('Inventario General'!$B$5:$B$304,MATCH($A137,'Inventario General'!$A$5:$A$304,0))&amp;"","No está en el inventario"))</f>
        <v/>
      </c>
      <c r="C137" s="26"/>
      <c r="D137" s="51"/>
      <c r="E137" s="26"/>
      <c r="F137" s="26"/>
      <c r="G137" s="27"/>
      <c r="H137" s="27"/>
      <c r="I137" s="26"/>
      <c r="J137" s="25" t="str">
        <f t="shared" si="4"/>
        <v/>
      </c>
      <c r="K137" s="26"/>
    </row>
    <row r="138" spans="1:11" x14ac:dyDescent="0.25">
      <c r="A138" s="26"/>
      <c r="B138" s="25" t="str">
        <f>IF($A138="","",IFERROR(INDEX('Inventario General'!$B$5:$B$304,MATCH($A138,'Inventario General'!$A$5:$A$304,0))&amp;"","No está en el inventario"))</f>
        <v/>
      </c>
      <c r="C138" s="26"/>
      <c r="D138" s="51"/>
      <c r="E138" s="26"/>
      <c r="F138" s="26"/>
      <c r="G138" s="27"/>
      <c r="H138" s="27"/>
      <c r="I138" s="26"/>
      <c r="J138" s="25" t="str">
        <f t="shared" si="4"/>
        <v/>
      </c>
      <c r="K138" s="26"/>
    </row>
    <row r="139" spans="1:11" x14ac:dyDescent="0.25">
      <c r="A139" s="26"/>
      <c r="B139" s="25" t="str">
        <f>IF($A139="","",IFERROR(INDEX('Inventario General'!$B$5:$B$304,MATCH($A139,'Inventario General'!$A$5:$A$304,0))&amp;"","No está en el inventario"))</f>
        <v/>
      </c>
      <c r="C139" s="26"/>
      <c r="D139" s="51"/>
      <c r="E139" s="26"/>
      <c r="F139" s="26"/>
      <c r="G139" s="27"/>
      <c r="H139" s="27"/>
      <c r="I139" s="26"/>
      <c r="J139" s="25" t="str">
        <f t="shared" si="4"/>
        <v/>
      </c>
      <c r="K139" s="26"/>
    </row>
    <row r="140" spans="1:11" x14ac:dyDescent="0.25">
      <c r="A140" s="26"/>
      <c r="B140" s="25" t="str">
        <f>IF($A140="","",IFERROR(INDEX('Inventario General'!$B$5:$B$304,MATCH($A140,'Inventario General'!$A$5:$A$304,0))&amp;"","No está en el inventario"))</f>
        <v/>
      </c>
      <c r="C140" s="26"/>
      <c r="D140" s="51"/>
      <c r="E140" s="26"/>
      <c r="F140" s="26"/>
      <c r="G140" s="27"/>
      <c r="H140" s="27"/>
      <c r="I140" s="26"/>
      <c r="J140" s="25" t="str">
        <f t="shared" si="4"/>
        <v/>
      </c>
      <c r="K140" s="26"/>
    </row>
    <row r="141" spans="1:11" x14ac:dyDescent="0.25">
      <c r="A141" s="26"/>
      <c r="B141" s="25" t="str">
        <f>IF($A141="","",IFERROR(INDEX('Inventario General'!$B$5:$B$304,MATCH($A141,'Inventario General'!$A$5:$A$304,0))&amp;"","No está en el inventario"))</f>
        <v/>
      </c>
      <c r="C141" s="26"/>
      <c r="D141" s="51"/>
      <c r="E141" s="26"/>
      <c r="F141" s="26"/>
      <c r="G141" s="27"/>
      <c r="H141" s="27"/>
      <c r="I141" s="26"/>
      <c r="J141" s="25" t="str">
        <f t="shared" si="4"/>
        <v/>
      </c>
      <c r="K141" s="26"/>
    </row>
    <row r="142" spans="1:11" x14ac:dyDescent="0.25">
      <c r="A142" s="26"/>
      <c r="B142" s="25" t="str">
        <f>IF($A142="","",IFERROR(INDEX('Inventario General'!$B$5:$B$304,MATCH($A142,'Inventario General'!$A$5:$A$304,0))&amp;"","No está en el inventario"))</f>
        <v/>
      </c>
      <c r="C142" s="26"/>
      <c r="D142" s="51"/>
      <c r="E142" s="26"/>
      <c r="F142" s="26"/>
      <c r="G142" s="27"/>
      <c r="H142" s="27"/>
      <c r="I142" s="26"/>
      <c r="J142" s="25" t="str">
        <f t="shared" si="4"/>
        <v/>
      </c>
      <c r="K142" s="26"/>
    </row>
    <row r="143" spans="1:11" x14ac:dyDescent="0.25">
      <c r="A143" s="26"/>
      <c r="B143" s="25" t="str">
        <f>IF($A143="","",IFERROR(INDEX('Inventario General'!$B$5:$B$304,MATCH($A143,'Inventario General'!$A$5:$A$304,0))&amp;"","No está en el inventario"))</f>
        <v/>
      </c>
      <c r="C143" s="26"/>
      <c r="D143" s="51"/>
      <c r="E143" s="26"/>
      <c r="F143" s="26"/>
      <c r="G143" s="27"/>
      <c r="H143" s="27"/>
      <c r="I143" s="26"/>
      <c r="J143" s="25" t="str">
        <f t="shared" si="4"/>
        <v/>
      </c>
      <c r="K143" s="26"/>
    </row>
    <row r="144" spans="1:11" x14ac:dyDescent="0.25">
      <c r="A144" s="26"/>
      <c r="B144" s="25" t="str">
        <f>IF($A144="","",IFERROR(INDEX('Inventario General'!$B$5:$B$304,MATCH($A144,'Inventario General'!$A$5:$A$304,0))&amp;"","No está en el inventario"))</f>
        <v/>
      </c>
      <c r="C144" s="26"/>
      <c r="D144" s="51"/>
      <c r="E144" s="26"/>
      <c r="F144" s="26"/>
      <c r="G144" s="27"/>
      <c r="H144" s="27"/>
      <c r="I144" s="26"/>
      <c r="J144" s="25" t="str">
        <f t="shared" si="4"/>
        <v/>
      </c>
      <c r="K144" s="26"/>
    </row>
    <row r="145" spans="1:11" x14ac:dyDescent="0.25">
      <c r="A145" s="26"/>
      <c r="B145" s="25" t="str">
        <f>IF($A145="","",IFERROR(INDEX('Inventario General'!$B$5:$B$304,MATCH($A145,'Inventario General'!$A$5:$A$304,0))&amp;"","No está en el inventario"))</f>
        <v/>
      </c>
      <c r="C145" s="26"/>
      <c r="D145" s="51"/>
      <c r="E145" s="26"/>
      <c r="F145" s="26"/>
      <c r="G145" s="27"/>
      <c r="H145" s="27"/>
      <c r="I145" s="26"/>
      <c r="J145" s="25" t="str">
        <f t="shared" si="4"/>
        <v/>
      </c>
      <c r="K145" s="26"/>
    </row>
    <row r="146" spans="1:11" x14ac:dyDescent="0.25">
      <c r="A146" s="26"/>
      <c r="B146" s="25" t="str">
        <f>IF($A146="","",IFERROR(INDEX('Inventario General'!$B$5:$B$304,MATCH($A146,'Inventario General'!$A$5:$A$304,0))&amp;"","No está en el inventario"))</f>
        <v/>
      </c>
      <c r="C146" s="26"/>
      <c r="D146" s="51"/>
      <c r="E146" s="26"/>
      <c r="F146" s="26"/>
      <c r="G146" s="27"/>
      <c r="H146" s="27"/>
      <c r="I146" s="26"/>
      <c r="J146" s="25" t="str">
        <f t="shared" si="4"/>
        <v/>
      </c>
      <c r="K146" s="26"/>
    </row>
    <row r="147" spans="1:11" x14ac:dyDescent="0.25">
      <c r="A147" s="26"/>
      <c r="B147" s="25" t="str">
        <f>IF($A147="","",IFERROR(INDEX('Inventario General'!$B$5:$B$304,MATCH($A147,'Inventario General'!$A$5:$A$304,0))&amp;"","No está en el inventario"))</f>
        <v/>
      </c>
      <c r="C147" s="26"/>
      <c r="D147" s="51"/>
      <c r="E147" s="26"/>
      <c r="F147" s="26"/>
      <c r="G147" s="27"/>
      <c r="H147" s="27"/>
      <c r="I147" s="26"/>
      <c r="J147" s="25" t="str">
        <f t="shared" si="4"/>
        <v/>
      </c>
      <c r="K147" s="26"/>
    </row>
    <row r="148" spans="1:11" x14ac:dyDescent="0.25">
      <c r="A148" s="26"/>
      <c r="B148" s="25" t="str">
        <f>IF($A148="","",IFERROR(INDEX('Inventario General'!$B$5:$B$304,MATCH($A148,'Inventario General'!$A$5:$A$304,0))&amp;"","No está en el inventario"))</f>
        <v/>
      </c>
      <c r="C148" s="26"/>
      <c r="D148" s="51"/>
      <c r="E148" s="26"/>
      <c r="F148" s="26"/>
      <c r="G148" s="27"/>
      <c r="H148" s="27"/>
      <c r="I148" s="26"/>
      <c r="J148" s="25" t="str">
        <f t="shared" si="4"/>
        <v/>
      </c>
      <c r="K148" s="26"/>
    </row>
    <row r="149" spans="1:11" x14ac:dyDescent="0.25">
      <c r="A149" s="26"/>
      <c r="B149" s="25" t="str">
        <f>IF($A149="","",IFERROR(INDEX('Inventario General'!$B$5:$B$304,MATCH($A149,'Inventario General'!$A$5:$A$304,0))&amp;"","No está en el inventario"))</f>
        <v/>
      </c>
      <c r="C149" s="26"/>
      <c r="D149" s="51"/>
      <c r="E149" s="26"/>
      <c r="F149" s="26"/>
      <c r="G149" s="27"/>
      <c r="H149" s="27"/>
      <c r="I149" s="26"/>
      <c r="J149" s="25" t="str">
        <f t="shared" si="4"/>
        <v/>
      </c>
      <c r="K149" s="26"/>
    </row>
    <row r="150" spans="1:11" x14ac:dyDescent="0.25">
      <c r="A150" s="26"/>
      <c r="B150" s="25" t="str">
        <f>IF($A150="","",IFERROR(INDEX('Inventario General'!$B$5:$B$304,MATCH($A150,'Inventario General'!$A$5:$A$304,0))&amp;"","No está en el inventario"))</f>
        <v/>
      </c>
      <c r="C150" s="26"/>
      <c r="D150" s="51"/>
      <c r="E150" s="26"/>
      <c r="F150" s="26"/>
      <c r="G150" s="27"/>
      <c r="H150" s="27"/>
      <c r="I150" s="26"/>
      <c r="J150" s="25" t="str">
        <f t="shared" si="4"/>
        <v/>
      </c>
      <c r="K150" s="26"/>
    </row>
    <row r="151" spans="1:11" x14ac:dyDescent="0.25">
      <c r="A151" s="26"/>
      <c r="B151" s="25" t="str">
        <f>IF($A151="","",IFERROR(INDEX('Inventario General'!$B$5:$B$304,MATCH($A151,'Inventario General'!$A$5:$A$304,0))&amp;"","No está en el inventario"))</f>
        <v/>
      </c>
      <c r="C151" s="26"/>
      <c r="D151" s="51"/>
      <c r="E151" s="26"/>
      <c r="F151" s="26"/>
      <c r="G151" s="27"/>
      <c r="H151" s="27"/>
      <c r="I151" s="26"/>
      <c r="J151" s="25" t="str">
        <f t="shared" si="4"/>
        <v/>
      </c>
      <c r="K151" s="26"/>
    </row>
    <row r="152" spans="1:11" x14ac:dyDescent="0.25">
      <c r="A152" s="26"/>
      <c r="B152" s="25" t="str">
        <f>IF($A152="","",IFERROR(INDEX('Inventario General'!$B$5:$B$304,MATCH($A152,'Inventario General'!$A$5:$A$304,0))&amp;"","No está en el inventario"))</f>
        <v/>
      </c>
      <c r="C152" s="26"/>
      <c r="D152" s="51"/>
      <c r="E152" s="26"/>
      <c r="F152" s="26"/>
      <c r="G152" s="27"/>
      <c r="H152" s="27"/>
      <c r="I152" s="26"/>
      <c r="J152" s="25" t="str">
        <f t="shared" si="4"/>
        <v/>
      </c>
      <c r="K152" s="26"/>
    </row>
    <row r="153" spans="1:11" x14ac:dyDescent="0.25">
      <c r="A153" s="26"/>
      <c r="B153" s="25" t="str">
        <f>IF($A153="","",IFERROR(INDEX('Inventario General'!$B$5:$B$304,MATCH($A153,'Inventario General'!$A$5:$A$304,0))&amp;"","No está en el inventario"))</f>
        <v/>
      </c>
      <c r="C153" s="26"/>
      <c r="D153" s="51"/>
      <c r="E153" s="26"/>
      <c r="F153" s="26"/>
      <c r="G153" s="27"/>
      <c r="H153" s="27"/>
      <c r="I153" s="26"/>
      <c r="J153" s="25" t="str">
        <f t="shared" si="4"/>
        <v/>
      </c>
      <c r="K153" s="26"/>
    </row>
    <row r="154" spans="1:11" x14ac:dyDescent="0.25">
      <c r="A154" s="26"/>
      <c r="B154" s="25" t="str">
        <f>IF($A154="","",IFERROR(INDEX('Inventario General'!$B$5:$B$304,MATCH($A154,'Inventario General'!$A$5:$A$304,0))&amp;"","No está en el inventario"))</f>
        <v/>
      </c>
      <c r="C154" s="26"/>
      <c r="D154" s="51"/>
      <c r="E154" s="26"/>
      <c r="F154" s="26"/>
      <c r="G154" s="27"/>
      <c r="H154" s="27"/>
      <c r="I154" s="26"/>
      <c r="J154" s="25" t="str">
        <f t="shared" si="4"/>
        <v/>
      </c>
      <c r="K154" s="26"/>
    </row>
    <row r="155" spans="1:11" x14ac:dyDescent="0.25">
      <c r="A155" s="26"/>
      <c r="B155" s="25" t="str">
        <f>IF($A155="","",IFERROR(INDEX('Inventario General'!$B$5:$B$304,MATCH($A155,'Inventario General'!$A$5:$A$304,0))&amp;"","No está en el inventario"))</f>
        <v/>
      </c>
      <c r="C155" s="26"/>
      <c r="D155" s="51"/>
      <c r="E155" s="26"/>
      <c r="F155" s="26"/>
      <c r="G155" s="27"/>
      <c r="H155" s="27"/>
      <c r="I155" s="26"/>
      <c r="J155" s="25" t="str">
        <f t="shared" si="4"/>
        <v/>
      </c>
      <c r="K155" s="26"/>
    </row>
    <row r="156" spans="1:11" x14ac:dyDescent="0.25">
      <c r="A156" s="26"/>
      <c r="B156" s="25" t="str">
        <f>IF($A156="","",IFERROR(INDEX('Inventario General'!$B$5:$B$304,MATCH($A156,'Inventario General'!$A$5:$A$304,0))&amp;"","No está en el inventario"))</f>
        <v/>
      </c>
      <c r="C156" s="26"/>
      <c r="D156" s="51"/>
      <c r="E156" s="26"/>
      <c r="F156" s="26"/>
      <c r="G156" s="27"/>
      <c r="H156" s="27"/>
      <c r="I156" s="26"/>
      <c r="J156" s="25" t="str">
        <f t="shared" si="4"/>
        <v/>
      </c>
      <c r="K156" s="26"/>
    </row>
    <row r="157" spans="1:11" x14ac:dyDescent="0.25">
      <c r="A157" s="26"/>
      <c r="B157" s="25" t="str">
        <f>IF($A157="","",IFERROR(INDEX('Inventario General'!$B$5:$B$304,MATCH($A157,'Inventario General'!$A$5:$A$304,0))&amp;"","No está en el inventario"))</f>
        <v/>
      </c>
      <c r="C157" s="26"/>
      <c r="D157" s="51"/>
      <c r="E157" s="26"/>
      <c r="F157" s="26"/>
      <c r="G157" s="27"/>
      <c r="H157" s="27"/>
      <c r="I157" s="26"/>
      <c r="J157" s="25" t="str">
        <f t="shared" si="4"/>
        <v/>
      </c>
      <c r="K157" s="26"/>
    </row>
    <row r="158" spans="1:11" x14ac:dyDescent="0.25">
      <c r="A158" s="26"/>
      <c r="B158" s="25" t="str">
        <f>IF($A158="","",IFERROR(INDEX('Inventario General'!$B$5:$B$304,MATCH($A158,'Inventario General'!$A$5:$A$304,0))&amp;"","No está en el inventario"))</f>
        <v/>
      </c>
      <c r="C158" s="26"/>
      <c r="D158" s="51"/>
      <c r="E158" s="26"/>
      <c r="F158" s="26"/>
      <c r="G158" s="27"/>
      <c r="H158" s="27"/>
      <c r="I158" s="26"/>
      <c r="J158" s="25" t="str">
        <f t="shared" si="4"/>
        <v/>
      </c>
      <c r="K158" s="26"/>
    </row>
    <row r="159" spans="1:11" x14ac:dyDescent="0.25">
      <c r="A159" s="26"/>
      <c r="B159" s="25" t="str">
        <f>IF($A159="","",IFERROR(INDEX('Inventario General'!$B$5:$B$304,MATCH($A159,'Inventario General'!$A$5:$A$304,0))&amp;"","No está en el inventario"))</f>
        <v/>
      </c>
      <c r="C159" s="26"/>
      <c r="D159" s="51"/>
      <c r="E159" s="26"/>
      <c r="F159" s="26"/>
      <c r="G159" s="27"/>
      <c r="H159" s="27"/>
      <c r="I159" s="26"/>
      <c r="J159" s="25" t="str">
        <f t="shared" si="4"/>
        <v/>
      </c>
      <c r="K159" s="26"/>
    </row>
    <row r="160" spans="1:11" x14ac:dyDescent="0.25">
      <c r="A160" s="26"/>
      <c r="B160" s="25" t="str">
        <f>IF($A160="","",IFERROR(INDEX('Inventario General'!$B$5:$B$304,MATCH($A160,'Inventario General'!$A$5:$A$304,0))&amp;"","No está en el inventario"))</f>
        <v/>
      </c>
      <c r="C160" s="26"/>
      <c r="D160" s="51"/>
      <c r="E160" s="26"/>
      <c r="F160" s="26"/>
      <c r="G160" s="27"/>
      <c r="H160" s="27"/>
      <c r="I160" s="26"/>
      <c r="J160" s="25" t="str">
        <f t="shared" si="4"/>
        <v/>
      </c>
      <c r="K160" s="26"/>
    </row>
    <row r="161" spans="1:11" x14ac:dyDescent="0.25">
      <c r="A161" s="26"/>
      <c r="B161" s="25" t="str">
        <f>IF($A161="","",IFERROR(INDEX('Inventario General'!$B$5:$B$304,MATCH($A161,'Inventario General'!$A$5:$A$304,0))&amp;"","No está en el inventario"))</f>
        <v/>
      </c>
      <c r="C161" s="26"/>
      <c r="D161" s="51"/>
      <c r="E161" s="26"/>
      <c r="F161" s="26"/>
      <c r="G161" s="27"/>
      <c r="H161" s="27"/>
      <c r="I161" s="26"/>
      <c r="J161" s="25" t="str">
        <f t="shared" si="4"/>
        <v/>
      </c>
      <c r="K161" s="26"/>
    </row>
    <row r="162" spans="1:11" x14ac:dyDescent="0.25">
      <c r="A162" s="26"/>
      <c r="B162" s="25" t="str">
        <f>IF($A162="","",IFERROR(INDEX('Inventario General'!$B$5:$B$304,MATCH($A162,'Inventario General'!$A$5:$A$304,0))&amp;"","No está en el inventario"))</f>
        <v/>
      </c>
      <c r="C162" s="26"/>
      <c r="D162" s="51"/>
      <c r="E162" s="26"/>
      <c r="F162" s="26"/>
      <c r="G162" s="27"/>
      <c r="H162" s="27"/>
      <c r="I162" s="26"/>
      <c r="J162" s="25" t="str">
        <f t="shared" si="4"/>
        <v/>
      </c>
      <c r="K162" s="26"/>
    </row>
    <row r="163" spans="1:11" x14ac:dyDescent="0.25">
      <c r="A163" s="26"/>
      <c r="B163" s="25" t="str">
        <f>IF($A163="","",IFERROR(INDEX('Inventario General'!$B$5:$B$304,MATCH($A163,'Inventario General'!$A$5:$A$304,0))&amp;"","No está en el inventario"))</f>
        <v/>
      </c>
      <c r="C163" s="26"/>
      <c r="D163" s="51"/>
      <c r="E163" s="26"/>
      <c r="F163" s="26"/>
      <c r="G163" s="27"/>
      <c r="H163" s="27"/>
      <c r="I163" s="26"/>
      <c r="J163" s="25" t="str">
        <f t="shared" si="4"/>
        <v/>
      </c>
      <c r="K163" s="26"/>
    </row>
    <row r="164" spans="1:11" x14ac:dyDescent="0.25">
      <c r="A164" s="26"/>
      <c r="B164" s="25" t="str">
        <f>IF($A164="","",IFERROR(INDEX('Inventario General'!$B$5:$B$304,MATCH($A164,'Inventario General'!$A$5:$A$304,0))&amp;"","No está en el inventario"))</f>
        <v/>
      </c>
      <c r="C164" s="26"/>
      <c r="D164" s="51"/>
      <c r="E164" s="26"/>
      <c r="F164" s="26"/>
      <c r="G164" s="27"/>
      <c r="H164" s="27"/>
      <c r="I164" s="26"/>
      <c r="J164" s="25" t="str">
        <f t="shared" si="4"/>
        <v/>
      </c>
      <c r="K164" s="26"/>
    </row>
    <row r="165" spans="1:11" x14ac:dyDescent="0.25">
      <c r="A165" s="26"/>
      <c r="B165" s="25" t="str">
        <f>IF($A165="","",IFERROR(INDEX('Inventario General'!$B$5:$B$304,MATCH($A165,'Inventario General'!$A$5:$A$304,0))&amp;"","No está en el inventario"))</f>
        <v/>
      </c>
      <c r="C165" s="26"/>
      <c r="D165" s="51"/>
      <c r="E165" s="26"/>
      <c r="F165" s="26"/>
      <c r="G165" s="27"/>
      <c r="H165" s="27"/>
      <c r="I165" s="26"/>
      <c r="J165" s="25" t="str">
        <f t="shared" ref="J165:J196" si="5">IF(G165="","",IF(H165="","Vigente","Devuelto"))</f>
        <v/>
      </c>
      <c r="K165" s="26"/>
    </row>
    <row r="166" spans="1:11" x14ac:dyDescent="0.25">
      <c r="A166" s="26"/>
      <c r="B166" s="25" t="str">
        <f>IF($A166="","",IFERROR(INDEX('Inventario General'!$B$5:$B$304,MATCH($A166,'Inventario General'!$A$5:$A$304,0))&amp;"","No está en el inventario"))</f>
        <v/>
      </c>
      <c r="C166" s="26"/>
      <c r="D166" s="51"/>
      <c r="E166" s="26"/>
      <c r="F166" s="26"/>
      <c r="G166" s="27"/>
      <c r="H166" s="27"/>
      <c r="I166" s="26"/>
      <c r="J166" s="25" t="str">
        <f t="shared" si="5"/>
        <v/>
      </c>
      <c r="K166" s="26"/>
    </row>
    <row r="167" spans="1:11" x14ac:dyDescent="0.25">
      <c r="A167" s="26"/>
      <c r="B167" s="25" t="str">
        <f>IF($A167="","",IFERROR(INDEX('Inventario General'!$B$5:$B$304,MATCH($A167,'Inventario General'!$A$5:$A$304,0))&amp;"","No está en el inventario"))</f>
        <v/>
      </c>
      <c r="C167" s="26"/>
      <c r="D167" s="51"/>
      <c r="E167" s="26"/>
      <c r="F167" s="26"/>
      <c r="G167" s="27"/>
      <c r="H167" s="27"/>
      <c r="I167" s="26"/>
      <c r="J167" s="25" t="str">
        <f t="shared" si="5"/>
        <v/>
      </c>
      <c r="K167" s="26"/>
    </row>
    <row r="168" spans="1:11" x14ac:dyDescent="0.25">
      <c r="A168" s="26"/>
      <c r="B168" s="25" t="str">
        <f>IF($A168="","",IFERROR(INDEX('Inventario General'!$B$5:$B$304,MATCH($A168,'Inventario General'!$A$5:$A$304,0))&amp;"","No está en el inventario"))</f>
        <v/>
      </c>
      <c r="C168" s="26"/>
      <c r="D168" s="51"/>
      <c r="E168" s="26"/>
      <c r="F168" s="26"/>
      <c r="G168" s="27"/>
      <c r="H168" s="27"/>
      <c r="I168" s="26"/>
      <c r="J168" s="25" t="str">
        <f t="shared" si="5"/>
        <v/>
      </c>
      <c r="K168" s="26"/>
    </row>
    <row r="169" spans="1:11" x14ac:dyDescent="0.25">
      <c r="A169" s="26"/>
      <c r="B169" s="25" t="str">
        <f>IF($A169="","",IFERROR(INDEX('Inventario General'!$B$5:$B$304,MATCH($A169,'Inventario General'!$A$5:$A$304,0))&amp;"","No está en el inventario"))</f>
        <v/>
      </c>
      <c r="C169" s="26"/>
      <c r="D169" s="51"/>
      <c r="E169" s="26"/>
      <c r="F169" s="26"/>
      <c r="G169" s="27"/>
      <c r="H169" s="27"/>
      <c r="I169" s="26"/>
      <c r="J169" s="25" t="str">
        <f t="shared" si="5"/>
        <v/>
      </c>
      <c r="K169" s="26"/>
    </row>
    <row r="170" spans="1:11" x14ac:dyDescent="0.25">
      <c r="A170" s="26"/>
      <c r="B170" s="25" t="str">
        <f>IF($A170="","",IFERROR(INDEX('Inventario General'!$B$5:$B$304,MATCH($A170,'Inventario General'!$A$5:$A$304,0))&amp;"","No está en el inventario"))</f>
        <v/>
      </c>
      <c r="C170" s="26"/>
      <c r="D170" s="51"/>
      <c r="E170" s="26"/>
      <c r="F170" s="26"/>
      <c r="G170" s="27"/>
      <c r="H170" s="27"/>
      <c r="I170" s="26"/>
      <c r="J170" s="25" t="str">
        <f t="shared" si="5"/>
        <v/>
      </c>
      <c r="K170" s="26"/>
    </row>
    <row r="171" spans="1:11" x14ac:dyDescent="0.25">
      <c r="A171" s="26"/>
      <c r="B171" s="25" t="str">
        <f>IF($A171="","",IFERROR(INDEX('Inventario General'!$B$5:$B$304,MATCH($A171,'Inventario General'!$A$5:$A$304,0))&amp;"","No está en el inventario"))</f>
        <v/>
      </c>
      <c r="C171" s="26"/>
      <c r="D171" s="51"/>
      <c r="E171" s="26"/>
      <c r="F171" s="26"/>
      <c r="G171" s="27"/>
      <c r="H171" s="27"/>
      <c r="I171" s="26"/>
      <c r="J171" s="25" t="str">
        <f t="shared" si="5"/>
        <v/>
      </c>
      <c r="K171" s="26"/>
    </row>
    <row r="172" spans="1:11" x14ac:dyDescent="0.25">
      <c r="A172" s="26"/>
      <c r="B172" s="25" t="str">
        <f>IF($A172="","",IFERROR(INDEX('Inventario General'!$B$5:$B$304,MATCH($A172,'Inventario General'!$A$5:$A$304,0))&amp;"","No está en el inventario"))</f>
        <v/>
      </c>
      <c r="C172" s="26"/>
      <c r="D172" s="51"/>
      <c r="E172" s="26"/>
      <c r="F172" s="26"/>
      <c r="G172" s="27"/>
      <c r="H172" s="27"/>
      <c r="I172" s="26"/>
      <c r="J172" s="25" t="str">
        <f t="shared" si="5"/>
        <v/>
      </c>
      <c r="K172" s="26"/>
    </row>
    <row r="173" spans="1:11" x14ac:dyDescent="0.25">
      <c r="A173" s="26"/>
      <c r="B173" s="25" t="str">
        <f>IF($A173="","",IFERROR(INDEX('Inventario General'!$B$5:$B$304,MATCH($A173,'Inventario General'!$A$5:$A$304,0))&amp;"","No está en el inventario"))</f>
        <v/>
      </c>
      <c r="C173" s="26"/>
      <c r="D173" s="51"/>
      <c r="E173" s="26"/>
      <c r="F173" s="26"/>
      <c r="G173" s="27"/>
      <c r="H173" s="27"/>
      <c r="I173" s="26"/>
      <c r="J173" s="25" t="str">
        <f t="shared" si="5"/>
        <v/>
      </c>
      <c r="K173" s="26"/>
    </row>
    <row r="174" spans="1:11" x14ac:dyDescent="0.25">
      <c r="A174" s="26"/>
      <c r="B174" s="25" t="str">
        <f>IF($A174="","",IFERROR(INDEX('Inventario General'!$B$5:$B$304,MATCH($A174,'Inventario General'!$A$5:$A$304,0))&amp;"","No está en el inventario"))</f>
        <v/>
      </c>
      <c r="C174" s="26"/>
      <c r="D174" s="51"/>
      <c r="E174" s="26"/>
      <c r="F174" s="26"/>
      <c r="G174" s="27"/>
      <c r="H174" s="27"/>
      <c r="I174" s="26"/>
      <c r="J174" s="25" t="str">
        <f t="shared" si="5"/>
        <v/>
      </c>
      <c r="K174" s="26"/>
    </row>
    <row r="175" spans="1:11" x14ac:dyDescent="0.25">
      <c r="A175" s="26"/>
      <c r="B175" s="25" t="str">
        <f>IF($A175="","",IFERROR(INDEX('Inventario General'!$B$5:$B$304,MATCH($A175,'Inventario General'!$A$5:$A$304,0))&amp;"","No está en el inventario"))</f>
        <v/>
      </c>
      <c r="C175" s="26"/>
      <c r="D175" s="51"/>
      <c r="E175" s="26"/>
      <c r="F175" s="26"/>
      <c r="G175" s="27"/>
      <c r="H175" s="27"/>
      <c r="I175" s="26"/>
      <c r="J175" s="25" t="str">
        <f t="shared" si="5"/>
        <v/>
      </c>
      <c r="K175" s="26"/>
    </row>
    <row r="176" spans="1:11" x14ac:dyDescent="0.25">
      <c r="A176" s="26"/>
      <c r="B176" s="25" t="str">
        <f>IF($A176="","",IFERROR(INDEX('Inventario General'!$B$5:$B$304,MATCH($A176,'Inventario General'!$A$5:$A$304,0))&amp;"","No está en el inventario"))</f>
        <v/>
      </c>
      <c r="C176" s="26"/>
      <c r="D176" s="51"/>
      <c r="E176" s="26"/>
      <c r="F176" s="26"/>
      <c r="G176" s="27"/>
      <c r="H176" s="27"/>
      <c r="I176" s="26"/>
      <c r="J176" s="25" t="str">
        <f t="shared" si="5"/>
        <v/>
      </c>
      <c r="K176" s="26"/>
    </row>
    <row r="177" spans="1:11" x14ac:dyDescent="0.25">
      <c r="A177" s="26"/>
      <c r="B177" s="25" t="str">
        <f>IF($A177="","",IFERROR(INDEX('Inventario General'!$B$5:$B$304,MATCH($A177,'Inventario General'!$A$5:$A$304,0))&amp;"","No está en el inventario"))</f>
        <v/>
      </c>
      <c r="C177" s="26"/>
      <c r="D177" s="51"/>
      <c r="E177" s="26"/>
      <c r="F177" s="26"/>
      <c r="G177" s="27"/>
      <c r="H177" s="27"/>
      <c r="I177" s="26"/>
      <c r="J177" s="25" t="str">
        <f t="shared" si="5"/>
        <v/>
      </c>
      <c r="K177" s="26"/>
    </row>
    <row r="178" spans="1:11" x14ac:dyDescent="0.25">
      <c r="A178" s="26"/>
      <c r="B178" s="25" t="str">
        <f>IF($A178="","",IFERROR(INDEX('Inventario General'!$B$5:$B$304,MATCH($A178,'Inventario General'!$A$5:$A$304,0))&amp;"","No está en el inventario"))</f>
        <v/>
      </c>
      <c r="C178" s="26"/>
      <c r="D178" s="51"/>
      <c r="E178" s="26"/>
      <c r="F178" s="26"/>
      <c r="G178" s="27"/>
      <c r="H178" s="27"/>
      <c r="I178" s="26"/>
      <c r="J178" s="25" t="str">
        <f t="shared" si="5"/>
        <v/>
      </c>
      <c r="K178" s="26"/>
    </row>
    <row r="179" spans="1:11" x14ac:dyDescent="0.25">
      <c r="A179" s="26"/>
      <c r="B179" s="25" t="str">
        <f>IF($A179="","",IFERROR(INDEX('Inventario General'!$B$5:$B$304,MATCH($A179,'Inventario General'!$A$5:$A$304,0))&amp;"","No está en el inventario"))</f>
        <v/>
      </c>
      <c r="C179" s="26"/>
      <c r="D179" s="51"/>
      <c r="E179" s="26"/>
      <c r="F179" s="26"/>
      <c r="G179" s="27"/>
      <c r="H179" s="27"/>
      <c r="I179" s="26"/>
      <c r="J179" s="25" t="str">
        <f t="shared" si="5"/>
        <v/>
      </c>
      <c r="K179" s="26"/>
    </row>
    <row r="180" spans="1:11" x14ac:dyDescent="0.25">
      <c r="A180" s="26"/>
      <c r="B180" s="25" t="str">
        <f>IF($A180="","",IFERROR(INDEX('Inventario General'!$B$5:$B$304,MATCH($A180,'Inventario General'!$A$5:$A$304,0))&amp;"","No está en el inventario"))</f>
        <v/>
      </c>
      <c r="C180" s="26"/>
      <c r="D180" s="51"/>
      <c r="E180" s="26"/>
      <c r="F180" s="26"/>
      <c r="G180" s="27"/>
      <c r="H180" s="27"/>
      <c r="I180" s="26"/>
      <c r="J180" s="25" t="str">
        <f t="shared" si="5"/>
        <v/>
      </c>
      <c r="K180" s="26"/>
    </row>
    <row r="181" spans="1:11" x14ac:dyDescent="0.25">
      <c r="A181" s="26"/>
      <c r="B181" s="25" t="str">
        <f>IF($A181="","",IFERROR(INDEX('Inventario General'!$B$5:$B$304,MATCH($A181,'Inventario General'!$A$5:$A$304,0))&amp;"","No está en el inventario"))</f>
        <v/>
      </c>
      <c r="C181" s="26"/>
      <c r="D181" s="51"/>
      <c r="E181" s="26"/>
      <c r="F181" s="26"/>
      <c r="G181" s="27"/>
      <c r="H181" s="27"/>
      <c r="I181" s="26"/>
      <c r="J181" s="25" t="str">
        <f t="shared" si="5"/>
        <v/>
      </c>
      <c r="K181" s="26"/>
    </row>
    <row r="182" spans="1:11" x14ac:dyDescent="0.25">
      <c r="A182" s="26"/>
      <c r="B182" s="25" t="str">
        <f>IF($A182="","",IFERROR(INDEX('Inventario General'!$B$5:$B$304,MATCH($A182,'Inventario General'!$A$5:$A$304,0))&amp;"","No está en el inventario"))</f>
        <v/>
      </c>
      <c r="C182" s="26"/>
      <c r="D182" s="51"/>
      <c r="E182" s="26"/>
      <c r="F182" s="26"/>
      <c r="G182" s="27"/>
      <c r="H182" s="27"/>
      <c r="I182" s="26"/>
      <c r="J182" s="25" t="str">
        <f t="shared" si="5"/>
        <v/>
      </c>
      <c r="K182" s="26"/>
    </row>
    <row r="183" spans="1:11" x14ac:dyDescent="0.25">
      <c r="A183" s="26"/>
      <c r="B183" s="25" t="str">
        <f>IF($A183="","",IFERROR(INDEX('Inventario General'!$B$5:$B$304,MATCH($A183,'Inventario General'!$A$5:$A$304,0))&amp;"","No está en el inventario"))</f>
        <v/>
      </c>
      <c r="C183" s="26"/>
      <c r="D183" s="51"/>
      <c r="E183" s="26"/>
      <c r="F183" s="26"/>
      <c r="G183" s="27"/>
      <c r="H183" s="27"/>
      <c r="I183" s="26"/>
      <c r="J183" s="25" t="str">
        <f t="shared" si="5"/>
        <v/>
      </c>
      <c r="K183" s="26"/>
    </row>
    <row r="184" spans="1:11" x14ac:dyDescent="0.25">
      <c r="A184" s="26"/>
      <c r="B184" s="25" t="str">
        <f>IF($A184="","",IFERROR(INDEX('Inventario General'!$B$5:$B$304,MATCH($A184,'Inventario General'!$A$5:$A$304,0))&amp;"","No está en el inventario"))</f>
        <v/>
      </c>
      <c r="C184" s="26"/>
      <c r="D184" s="51"/>
      <c r="E184" s="26"/>
      <c r="F184" s="26"/>
      <c r="G184" s="27"/>
      <c r="H184" s="27"/>
      <c r="I184" s="26"/>
      <c r="J184" s="25" t="str">
        <f t="shared" si="5"/>
        <v/>
      </c>
      <c r="K184" s="26"/>
    </row>
    <row r="185" spans="1:11" x14ac:dyDescent="0.25">
      <c r="A185" s="26"/>
      <c r="B185" s="25" t="str">
        <f>IF($A185="","",IFERROR(INDEX('Inventario General'!$B$5:$B$304,MATCH($A185,'Inventario General'!$A$5:$A$304,0))&amp;"","No está en el inventario"))</f>
        <v/>
      </c>
      <c r="C185" s="26"/>
      <c r="D185" s="51"/>
      <c r="E185" s="26"/>
      <c r="F185" s="26"/>
      <c r="G185" s="27"/>
      <c r="H185" s="27"/>
      <c r="I185" s="26"/>
      <c r="J185" s="25" t="str">
        <f t="shared" si="5"/>
        <v/>
      </c>
      <c r="K185" s="26"/>
    </row>
    <row r="186" spans="1:11" x14ac:dyDescent="0.25">
      <c r="A186" s="26"/>
      <c r="B186" s="25" t="str">
        <f>IF($A186="","",IFERROR(INDEX('Inventario General'!$B$5:$B$304,MATCH($A186,'Inventario General'!$A$5:$A$304,0))&amp;"","No está en el inventario"))</f>
        <v/>
      </c>
      <c r="C186" s="26"/>
      <c r="D186" s="51"/>
      <c r="E186" s="26"/>
      <c r="F186" s="26"/>
      <c r="G186" s="27"/>
      <c r="H186" s="27"/>
      <c r="I186" s="26"/>
      <c r="J186" s="25" t="str">
        <f t="shared" si="5"/>
        <v/>
      </c>
      <c r="K186" s="26"/>
    </row>
    <row r="187" spans="1:11" x14ac:dyDescent="0.25">
      <c r="A187" s="26"/>
      <c r="B187" s="25" t="str">
        <f>IF($A187="","",IFERROR(INDEX('Inventario General'!$B$5:$B$304,MATCH($A187,'Inventario General'!$A$5:$A$304,0))&amp;"","No está en el inventario"))</f>
        <v/>
      </c>
      <c r="C187" s="26"/>
      <c r="D187" s="51"/>
      <c r="E187" s="26"/>
      <c r="F187" s="26"/>
      <c r="G187" s="27"/>
      <c r="H187" s="27"/>
      <c r="I187" s="26"/>
      <c r="J187" s="25" t="str">
        <f t="shared" si="5"/>
        <v/>
      </c>
      <c r="K187" s="26"/>
    </row>
    <row r="188" spans="1:11" x14ac:dyDescent="0.25">
      <c r="A188" s="26"/>
      <c r="B188" s="25" t="str">
        <f>IF($A188="","",IFERROR(INDEX('Inventario General'!$B$5:$B$304,MATCH($A188,'Inventario General'!$A$5:$A$304,0))&amp;"","No está en el inventario"))</f>
        <v/>
      </c>
      <c r="C188" s="26"/>
      <c r="D188" s="51"/>
      <c r="E188" s="26"/>
      <c r="F188" s="26"/>
      <c r="G188" s="27"/>
      <c r="H188" s="27"/>
      <c r="I188" s="26"/>
      <c r="J188" s="25" t="str">
        <f t="shared" si="5"/>
        <v/>
      </c>
      <c r="K188" s="26"/>
    </row>
    <row r="189" spans="1:11" x14ac:dyDescent="0.25">
      <c r="A189" s="26"/>
      <c r="B189" s="25" t="str">
        <f>IF($A189="","",IFERROR(INDEX('Inventario General'!$B$5:$B$304,MATCH($A189,'Inventario General'!$A$5:$A$304,0))&amp;"","No está en el inventario"))</f>
        <v/>
      </c>
      <c r="C189" s="26"/>
      <c r="D189" s="51"/>
      <c r="E189" s="26"/>
      <c r="F189" s="26"/>
      <c r="G189" s="27"/>
      <c r="H189" s="27"/>
      <c r="I189" s="26"/>
      <c r="J189" s="25" t="str">
        <f t="shared" si="5"/>
        <v/>
      </c>
      <c r="K189" s="26"/>
    </row>
    <row r="190" spans="1:11" x14ac:dyDescent="0.25">
      <c r="A190" s="26"/>
      <c r="B190" s="25" t="str">
        <f>IF($A190="","",IFERROR(INDEX('Inventario General'!$B$5:$B$304,MATCH($A190,'Inventario General'!$A$5:$A$304,0))&amp;"","No está en el inventario"))</f>
        <v/>
      </c>
      <c r="C190" s="26"/>
      <c r="D190" s="51"/>
      <c r="E190" s="26"/>
      <c r="F190" s="26"/>
      <c r="G190" s="27"/>
      <c r="H190" s="27"/>
      <c r="I190" s="26"/>
      <c r="J190" s="25" t="str">
        <f t="shared" si="5"/>
        <v/>
      </c>
      <c r="K190" s="26"/>
    </row>
    <row r="191" spans="1:11" x14ac:dyDescent="0.25">
      <c r="A191" s="26"/>
      <c r="B191" s="25" t="str">
        <f>IF($A191="","",IFERROR(INDEX('Inventario General'!$B$5:$B$304,MATCH($A191,'Inventario General'!$A$5:$A$304,0))&amp;"","No está en el inventario"))</f>
        <v/>
      </c>
      <c r="C191" s="26"/>
      <c r="D191" s="51"/>
      <c r="E191" s="26"/>
      <c r="F191" s="26"/>
      <c r="G191" s="27"/>
      <c r="H191" s="27"/>
      <c r="I191" s="26"/>
      <c r="J191" s="25" t="str">
        <f t="shared" si="5"/>
        <v/>
      </c>
      <c r="K191" s="26"/>
    </row>
    <row r="192" spans="1:11" x14ac:dyDescent="0.25">
      <c r="A192" s="26"/>
      <c r="B192" s="25" t="str">
        <f>IF($A192="","",IFERROR(INDEX('Inventario General'!$B$5:$B$304,MATCH($A192,'Inventario General'!$A$5:$A$304,0))&amp;"","No está en el inventario"))</f>
        <v/>
      </c>
      <c r="C192" s="26"/>
      <c r="D192" s="51"/>
      <c r="E192" s="26"/>
      <c r="F192" s="26"/>
      <c r="G192" s="27"/>
      <c r="H192" s="27"/>
      <c r="I192" s="26"/>
      <c r="J192" s="25" t="str">
        <f t="shared" si="5"/>
        <v/>
      </c>
      <c r="K192" s="26"/>
    </row>
    <row r="193" spans="1:11" x14ac:dyDescent="0.25">
      <c r="A193" s="26"/>
      <c r="B193" s="25" t="str">
        <f>IF($A193="","",IFERROR(INDEX('Inventario General'!$B$5:$B$304,MATCH($A193,'Inventario General'!$A$5:$A$304,0))&amp;"","No está en el inventario"))</f>
        <v/>
      </c>
      <c r="C193" s="26"/>
      <c r="D193" s="51"/>
      <c r="E193" s="26"/>
      <c r="F193" s="26"/>
      <c r="G193" s="27"/>
      <c r="H193" s="27"/>
      <c r="I193" s="26"/>
      <c r="J193" s="25" t="str">
        <f t="shared" si="5"/>
        <v/>
      </c>
      <c r="K193" s="26"/>
    </row>
    <row r="194" spans="1:11" x14ac:dyDescent="0.25">
      <c r="A194" s="26"/>
      <c r="B194" s="25" t="str">
        <f>IF($A194="","",IFERROR(INDEX('Inventario General'!$B$5:$B$304,MATCH($A194,'Inventario General'!$A$5:$A$304,0))&amp;"","No está en el inventario"))</f>
        <v/>
      </c>
      <c r="C194" s="26"/>
      <c r="D194" s="51"/>
      <c r="E194" s="26"/>
      <c r="F194" s="26"/>
      <c r="G194" s="27"/>
      <c r="H194" s="27"/>
      <c r="I194" s="26"/>
      <c r="J194" s="25" t="str">
        <f t="shared" si="5"/>
        <v/>
      </c>
      <c r="K194" s="26"/>
    </row>
    <row r="195" spans="1:11" x14ac:dyDescent="0.25">
      <c r="A195" s="26"/>
      <c r="B195" s="25" t="str">
        <f>IF($A195="","",IFERROR(INDEX('Inventario General'!$B$5:$B$304,MATCH($A195,'Inventario General'!$A$5:$A$304,0))&amp;"","No está en el inventario"))</f>
        <v/>
      </c>
      <c r="C195" s="26"/>
      <c r="D195" s="51"/>
      <c r="E195" s="26"/>
      <c r="F195" s="26"/>
      <c r="G195" s="27"/>
      <c r="H195" s="27"/>
      <c r="I195" s="26"/>
      <c r="J195" s="25" t="str">
        <f t="shared" si="5"/>
        <v/>
      </c>
      <c r="K195" s="26"/>
    </row>
    <row r="196" spans="1:11" x14ac:dyDescent="0.25">
      <c r="A196" s="26"/>
      <c r="B196" s="25" t="str">
        <f>IF($A196="","",IFERROR(INDEX('Inventario General'!$B$5:$B$304,MATCH($A196,'Inventario General'!$A$5:$A$304,0))&amp;"","No está en el inventario"))</f>
        <v/>
      </c>
      <c r="C196" s="26"/>
      <c r="D196" s="51"/>
      <c r="E196" s="26"/>
      <c r="F196" s="26"/>
      <c r="G196" s="27"/>
      <c r="H196" s="27"/>
      <c r="I196" s="26"/>
      <c r="J196" s="25" t="str">
        <f t="shared" si="5"/>
        <v/>
      </c>
      <c r="K196" s="26"/>
    </row>
    <row r="197" spans="1:11" x14ac:dyDescent="0.25">
      <c r="A197" s="26"/>
      <c r="B197" s="25" t="str">
        <f>IF($A197="","",IFERROR(INDEX('Inventario General'!$B$5:$B$304,MATCH($A197,'Inventario General'!$A$5:$A$304,0))&amp;"","No está en el inventario"))</f>
        <v/>
      </c>
      <c r="C197" s="26"/>
      <c r="D197" s="51"/>
      <c r="E197" s="26"/>
      <c r="F197" s="26"/>
      <c r="G197" s="27"/>
      <c r="H197" s="27"/>
      <c r="I197" s="26"/>
      <c r="J197" s="25" t="str">
        <f t="shared" ref="J197:J204" si="6">IF(G197="","",IF(H197="","Vigente","Devuelto"))</f>
        <v/>
      </c>
      <c r="K197" s="26"/>
    </row>
    <row r="198" spans="1:11" x14ac:dyDescent="0.25">
      <c r="A198" s="26"/>
      <c r="B198" s="25" t="str">
        <f>IF($A198="","",IFERROR(INDEX('Inventario General'!$B$5:$B$304,MATCH($A198,'Inventario General'!$A$5:$A$304,0))&amp;"","No está en el inventario"))</f>
        <v/>
      </c>
      <c r="C198" s="26"/>
      <c r="D198" s="51"/>
      <c r="E198" s="26"/>
      <c r="F198" s="26"/>
      <c r="G198" s="27"/>
      <c r="H198" s="27"/>
      <c r="I198" s="26"/>
      <c r="J198" s="25" t="str">
        <f t="shared" si="6"/>
        <v/>
      </c>
      <c r="K198" s="26"/>
    </row>
    <row r="199" spans="1:11" x14ac:dyDescent="0.25">
      <c r="A199" s="26"/>
      <c r="B199" s="25" t="str">
        <f>IF($A199="","",IFERROR(INDEX('Inventario General'!$B$5:$B$304,MATCH($A199,'Inventario General'!$A$5:$A$304,0))&amp;"","No está en el inventario"))</f>
        <v/>
      </c>
      <c r="C199" s="26"/>
      <c r="D199" s="51"/>
      <c r="E199" s="26"/>
      <c r="F199" s="26"/>
      <c r="G199" s="27"/>
      <c r="H199" s="27"/>
      <c r="I199" s="26"/>
      <c r="J199" s="25" t="str">
        <f t="shared" si="6"/>
        <v/>
      </c>
      <c r="K199" s="26"/>
    </row>
    <row r="200" spans="1:11" x14ac:dyDescent="0.25">
      <c r="A200" s="26"/>
      <c r="B200" s="25" t="str">
        <f>IF($A200="","",IFERROR(INDEX('Inventario General'!$B$5:$B$304,MATCH($A200,'Inventario General'!$A$5:$A$304,0))&amp;"","No está en el inventario"))</f>
        <v/>
      </c>
      <c r="C200" s="26"/>
      <c r="D200" s="51"/>
      <c r="E200" s="26"/>
      <c r="F200" s="26"/>
      <c r="G200" s="27"/>
      <c r="H200" s="27"/>
      <c r="I200" s="26"/>
      <c r="J200" s="25" t="str">
        <f t="shared" si="6"/>
        <v/>
      </c>
      <c r="K200" s="26"/>
    </row>
    <row r="201" spans="1:11" x14ac:dyDescent="0.25">
      <c r="A201" s="26"/>
      <c r="B201" s="25" t="str">
        <f>IF($A201="","",IFERROR(INDEX('Inventario General'!$B$5:$B$304,MATCH($A201,'Inventario General'!$A$5:$A$304,0))&amp;"","No está en el inventario"))</f>
        <v/>
      </c>
      <c r="C201" s="26"/>
      <c r="D201" s="51"/>
      <c r="E201" s="26"/>
      <c r="F201" s="26"/>
      <c r="G201" s="27"/>
      <c r="H201" s="27"/>
      <c r="I201" s="26"/>
      <c r="J201" s="25" t="str">
        <f t="shared" si="6"/>
        <v/>
      </c>
      <c r="K201" s="26"/>
    </row>
    <row r="202" spans="1:11" x14ac:dyDescent="0.25">
      <c r="A202" s="26"/>
      <c r="B202" s="25" t="str">
        <f>IF($A202="","",IFERROR(INDEX('Inventario General'!$B$5:$B$304,MATCH($A202,'Inventario General'!$A$5:$A$304,0))&amp;"","No está en el inventario"))</f>
        <v/>
      </c>
      <c r="C202" s="26"/>
      <c r="D202" s="51"/>
      <c r="E202" s="26"/>
      <c r="F202" s="26"/>
      <c r="G202" s="27"/>
      <c r="H202" s="27"/>
      <c r="I202" s="26"/>
      <c r="J202" s="25" t="str">
        <f t="shared" si="6"/>
        <v/>
      </c>
      <c r="K202" s="26"/>
    </row>
    <row r="203" spans="1:11" x14ac:dyDescent="0.25">
      <c r="A203" s="26"/>
      <c r="B203" s="25" t="str">
        <f>IF($A203="","",IFERROR(INDEX('Inventario General'!$B$5:$B$304,MATCH($A203,'Inventario General'!$A$5:$A$304,0))&amp;"","No está en el inventario"))</f>
        <v/>
      </c>
      <c r="C203" s="26"/>
      <c r="D203" s="51"/>
      <c r="E203" s="26"/>
      <c r="F203" s="26"/>
      <c r="G203" s="27"/>
      <c r="H203" s="27"/>
      <c r="I203" s="26"/>
      <c r="J203" s="25" t="str">
        <f t="shared" si="6"/>
        <v/>
      </c>
      <c r="K203" s="26"/>
    </row>
    <row r="204" spans="1:11" x14ac:dyDescent="0.25">
      <c r="A204" s="26"/>
      <c r="B204" s="25" t="str">
        <f>IF($A204="","",IFERROR(INDEX('Inventario General'!$B$5:$B$304,MATCH($A204,'Inventario General'!$A$5:$A$304,0))&amp;"","No está en el inventario"))</f>
        <v/>
      </c>
      <c r="C204" s="26"/>
      <c r="D204" s="51"/>
      <c r="E204" s="26"/>
      <c r="F204" s="26"/>
      <c r="G204" s="27"/>
      <c r="H204" s="27"/>
      <c r="I204" s="26"/>
      <c r="J204" s="25" t="str">
        <f t="shared" si="6"/>
        <v/>
      </c>
      <c r="K204" s="26"/>
    </row>
  </sheetData>
  <autoFilter ref="A4:K204" xr:uid="{00000000-0009-0000-0000-00000A000000}"/>
  <conditionalFormatting sqref="J5:J204">
    <cfRule type="cellIs" dxfId="1" priority="2" operator="equal">
      <formula>"Vigente"</formula>
    </cfRule>
    <cfRule type="cellIs" dxfId="0" priority="3" operator="equal">
      <formula>"Devuelto"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Código no encontrado" error="El código debe existir primero en la hoja 'Inventario General'." xr:uid="{00000000-0002-0000-0A00-000000000000}">
          <x14:formula1>
            <xm:f>'Inventario General'!$A$5:$A$304</xm:f>
          </x14:formula1>
          <x14:formula2>
            <xm:f>0</xm:f>
          </x14:formula2>
          <xm:sqref>A5:A204</xm:sqref>
        </x14:dataValidation>
        <x14:dataValidation type="list" allowBlank="1" showErrorMessage="1" errorTitle="Valor no válido" error="Elija un valor de la lista. Las listas se editan en la hoja 'Listas'." xr:uid="{00000000-0002-0000-0A00-000001000000}">
          <x14:formula1>
            <xm:f>OFFSET(Listas!$D$2,0,0,MAX(1,COUNTA(Listas!$D$2:$D$60)),1)</xm:f>
          </x14:formula1>
          <x14:formula2>
            <xm:f>0</xm:f>
          </x14:formula2>
          <xm:sqref>F5:F204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</sheetPr>
  <dimension ref="A1:T2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7" width="26" customWidth="1"/>
    <col min="18" max="18" width="4" customWidth="1"/>
    <col min="19" max="19" width="46" customWidth="1"/>
    <col min="20" max="20" width="12" customWidth="1"/>
  </cols>
  <sheetData>
    <row r="1" spans="1:20" ht="31.5" customHeight="1" x14ac:dyDescent="0.25">
      <c r="A1" s="52" t="s">
        <v>78</v>
      </c>
      <c r="B1" s="52" t="s">
        <v>322</v>
      </c>
      <c r="C1" s="52" t="s">
        <v>323</v>
      </c>
      <c r="D1" s="52" t="s">
        <v>324</v>
      </c>
      <c r="E1" s="52" t="s">
        <v>89</v>
      </c>
      <c r="F1" s="52" t="s">
        <v>95</v>
      </c>
      <c r="G1" s="52" t="s">
        <v>325</v>
      </c>
      <c r="H1" s="52" t="s">
        <v>274</v>
      </c>
      <c r="I1" s="52" t="s">
        <v>296</v>
      </c>
      <c r="J1" s="52" t="s">
        <v>301</v>
      </c>
      <c r="K1" s="52" t="s">
        <v>160</v>
      </c>
      <c r="L1" s="52" t="s">
        <v>326</v>
      </c>
      <c r="M1" s="52" t="s">
        <v>158</v>
      </c>
      <c r="N1" s="52" t="s">
        <v>208</v>
      </c>
      <c r="O1" s="52" t="s">
        <v>327</v>
      </c>
      <c r="P1" s="52" t="s">
        <v>235</v>
      </c>
      <c r="Q1" s="52" t="s">
        <v>257</v>
      </c>
      <c r="S1" s="53" t="s">
        <v>328</v>
      </c>
      <c r="T1" s="54"/>
    </row>
    <row r="2" spans="1:20" x14ac:dyDescent="0.25">
      <c r="A2" s="55" t="s">
        <v>102</v>
      </c>
      <c r="B2" s="55" t="s">
        <v>113</v>
      </c>
      <c r="C2" s="55" t="s">
        <v>127</v>
      </c>
      <c r="D2" s="55" t="s">
        <v>329</v>
      </c>
      <c r="E2" s="55" t="s">
        <v>112</v>
      </c>
      <c r="F2" s="55" t="s">
        <v>128</v>
      </c>
      <c r="G2" s="55" t="s">
        <v>203</v>
      </c>
      <c r="H2" s="55" t="s">
        <v>330</v>
      </c>
      <c r="I2" s="55" t="s">
        <v>305</v>
      </c>
      <c r="J2" s="55" t="s">
        <v>331</v>
      </c>
      <c r="K2" s="55" t="s">
        <v>196</v>
      </c>
      <c r="L2" s="55" t="s">
        <v>102</v>
      </c>
      <c r="M2" s="55" t="s">
        <v>194</v>
      </c>
      <c r="N2" s="55" t="s">
        <v>222</v>
      </c>
      <c r="O2" s="55" t="s">
        <v>223</v>
      </c>
      <c r="P2" s="55" t="s">
        <v>131</v>
      </c>
      <c r="Q2" s="55" t="s">
        <v>332</v>
      </c>
      <c r="S2" s="39" t="s">
        <v>333</v>
      </c>
      <c r="T2" s="56">
        <v>60</v>
      </c>
    </row>
    <row r="3" spans="1:20" x14ac:dyDescent="0.25">
      <c r="A3" s="55" t="s">
        <v>334</v>
      </c>
      <c r="B3" s="55" t="s">
        <v>335</v>
      </c>
      <c r="C3" s="55" t="s">
        <v>114</v>
      </c>
      <c r="D3" s="55" t="s">
        <v>107</v>
      </c>
      <c r="E3" s="55" t="s">
        <v>336</v>
      </c>
      <c r="F3" s="55" t="s">
        <v>115</v>
      </c>
      <c r="G3" s="55" t="s">
        <v>337</v>
      </c>
      <c r="H3" s="55" t="s">
        <v>288</v>
      </c>
      <c r="I3" s="55" t="s">
        <v>338</v>
      </c>
      <c r="J3" s="55" t="s">
        <v>339</v>
      </c>
      <c r="K3" s="55" t="s">
        <v>340</v>
      </c>
      <c r="L3" s="55" t="s">
        <v>341</v>
      </c>
      <c r="M3" s="55" t="s">
        <v>342</v>
      </c>
      <c r="N3" s="55" t="s">
        <v>343</v>
      </c>
      <c r="O3" s="55" t="s">
        <v>344</v>
      </c>
      <c r="P3" s="55" t="s">
        <v>345</v>
      </c>
      <c r="Q3" s="55" t="s">
        <v>138</v>
      </c>
      <c r="S3" s="39" t="s">
        <v>346</v>
      </c>
      <c r="T3" s="56">
        <v>1</v>
      </c>
    </row>
    <row r="4" spans="1:20" x14ac:dyDescent="0.25">
      <c r="A4" s="55" t="s">
        <v>347</v>
      </c>
      <c r="B4" s="55" t="s">
        <v>348</v>
      </c>
      <c r="C4" s="55" t="s">
        <v>349</v>
      </c>
      <c r="D4" s="55" t="s">
        <v>350</v>
      </c>
      <c r="E4" s="55" t="s">
        <v>351</v>
      </c>
      <c r="F4" s="55" t="s">
        <v>146</v>
      </c>
      <c r="H4" s="55" t="s">
        <v>352</v>
      </c>
      <c r="I4" s="55" t="s">
        <v>353</v>
      </c>
      <c r="J4" s="55" t="s">
        <v>308</v>
      </c>
      <c r="K4" s="55" t="s">
        <v>226</v>
      </c>
      <c r="L4" s="55" t="s">
        <v>347</v>
      </c>
      <c r="M4" s="55" t="s">
        <v>354</v>
      </c>
      <c r="N4" s="55" t="s">
        <v>355</v>
      </c>
      <c r="O4" s="55" t="s">
        <v>356</v>
      </c>
      <c r="P4" s="55" t="s">
        <v>357</v>
      </c>
      <c r="Q4" s="55" t="s">
        <v>358</v>
      </c>
    </row>
    <row r="5" spans="1:20" ht="24" x14ac:dyDescent="0.25">
      <c r="A5" s="55" t="s">
        <v>359</v>
      </c>
      <c r="B5" s="55" t="s">
        <v>360</v>
      </c>
      <c r="C5" s="55" t="s">
        <v>361</v>
      </c>
      <c r="D5" s="55" t="s">
        <v>362</v>
      </c>
      <c r="E5" s="55" t="s">
        <v>363</v>
      </c>
      <c r="H5" s="55" t="s">
        <v>364</v>
      </c>
      <c r="I5" s="55" t="s">
        <v>365</v>
      </c>
      <c r="K5" s="55" t="s">
        <v>366</v>
      </c>
      <c r="L5" s="55" t="s">
        <v>359</v>
      </c>
      <c r="M5" s="55" t="s">
        <v>367</v>
      </c>
      <c r="N5" s="55" t="s">
        <v>368</v>
      </c>
      <c r="O5" s="55" t="s">
        <v>369</v>
      </c>
      <c r="P5" s="55" t="s">
        <v>370</v>
      </c>
      <c r="Q5" s="55" t="s">
        <v>371</v>
      </c>
      <c r="S5" s="57" t="s">
        <v>372</v>
      </c>
    </row>
    <row r="6" spans="1:20" x14ac:dyDescent="0.25">
      <c r="A6" s="55" t="s">
        <v>373</v>
      </c>
      <c r="B6" s="55" t="s">
        <v>374</v>
      </c>
      <c r="D6" s="55" t="s">
        <v>375</v>
      </c>
      <c r="E6" s="55" t="s">
        <v>376</v>
      </c>
      <c r="H6" s="55" t="s">
        <v>377</v>
      </c>
      <c r="I6" s="55" t="s">
        <v>378</v>
      </c>
      <c r="K6" s="55" t="s">
        <v>379</v>
      </c>
      <c r="L6" s="55" t="s">
        <v>373</v>
      </c>
      <c r="O6" s="55" t="s">
        <v>380</v>
      </c>
      <c r="P6" s="55" t="s">
        <v>381</v>
      </c>
      <c r="Q6" s="55" t="s">
        <v>382</v>
      </c>
    </row>
    <row r="7" spans="1:20" x14ac:dyDescent="0.25">
      <c r="A7" s="55" t="s">
        <v>118</v>
      </c>
      <c r="B7" s="55" t="s">
        <v>383</v>
      </c>
      <c r="D7" s="55" t="s">
        <v>123</v>
      </c>
      <c r="H7" s="55" t="s">
        <v>384</v>
      </c>
      <c r="K7" s="55" t="s">
        <v>385</v>
      </c>
      <c r="O7" s="55" t="s">
        <v>386</v>
      </c>
      <c r="P7" s="55" t="s">
        <v>387</v>
      </c>
      <c r="Q7" s="55" t="s">
        <v>388</v>
      </c>
    </row>
    <row r="8" spans="1:20" x14ac:dyDescent="0.25">
      <c r="A8" s="55" t="s">
        <v>389</v>
      </c>
      <c r="D8" s="55" t="s">
        <v>390</v>
      </c>
      <c r="H8" s="55" t="s">
        <v>391</v>
      </c>
      <c r="K8" s="55" t="s">
        <v>392</v>
      </c>
      <c r="O8" s="55" t="s">
        <v>393</v>
      </c>
      <c r="P8" s="55" t="s">
        <v>394</v>
      </c>
      <c r="Q8" s="55" t="s">
        <v>395</v>
      </c>
    </row>
    <row r="9" spans="1:20" x14ac:dyDescent="0.25">
      <c r="A9" s="55" t="s">
        <v>131</v>
      </c>
      <c r="D9" s="55" t="s">
        <v>396</v>
      </c>
      <c r="K9" s="55" t="s">
        <v>397</v>
      </c>
      <c r="O9" s="55" t="s">
        <v>398</v>
      </c>
      <c r="P9" s="55" t="s">
        <v>399</v>
      </c>
      <c r="Q9" s="55" t="s">
        <v>400</v>
      </c>
    </row>
    <row r="10" spans="1:20" x14ac:dyDescent="0.25">
      <c r="A10" s="55" t="s">
        <v>345</v>
      </c>
      <c r="D10" s="55" t="s">
        <v>401</v>
      </c>
      <c r="K10" s="55" t="s">
        <v>399</v>
      </c>
      <c r="Q10" s="55" t="s">
        <v>402</v>
      </c>
    </row>
    <row r="11" spans="1:20" x14ac:dyDescent="0.25">
      <c r="A11" s="55" t="s">
        <v>357</v>
      </c>
      <c r="Q11" s="55" t="s">
        <v>399</v>
      </c>
    </row>
    <row r="12" spans="1:20" x14ac:dyDescent="0.25">
      <c r="A12" s="55" t="s">
        <v>370</v>
      </c>
    </row>
    <row r="13" spans="1:20" x14ac:dyDescent="0.25">
      <c r="A13" s="55" t="s">
        <v>332</v>
      </c>
    </row>
    <row r="14" spans="1:20" x14ac:dyDescent="0.25">
      <c r="A14" s="55" t="s">
        <v>138</v>
      </c>
    </row>
    <row r="15" spans="1:20" x14ac:dyDescent="0.25">
      <c r="A15" s="55" t="s">
        <v>358</v>
      </c>
    </row>
    <row r="16" spans="1:20" x14ac:dyDescent="0.25">
      <c r="A16" s="55" t="s">
        <v>371</v>
      </c>
    </row>
    <row r="17" spans="1:1" x14ac:dyDescent="0.25">
      <c r="A17" s="55" t="s">
        <v>382</v>
      </c>
    </row>
    <row r="18" spans="1:1" x14ac:dyDescent="0.25">
      <c r="A18" s="55" t="s">
        <v>388</v>
      </c>
    </row>
    <row r="19" spans="1:1" x14ac:dyDescent="0.25">
      <c r="A19" s="55" t="s">
        <v>395</v>
      </c>
    </row>
    <row r="20" spans="1:1" x14ac:dyDescent="0.25">
      <c r="A20" s="55" t="s">
        <v>403</v>
      </c>
    </row>
    <row r="21" spans="1:1" x14ac:dyDescent="0.25">
      <c r="A21" s="55" t="s">
        <v>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8</vt:i4>
      </vt:variant>
    </vt:vector>
  </HeadingPairs>
  <TitlesOfParts>
    <vt:vector size="20" baseType="lpstr">
      <vt:lpstr>Instrucciones</vt:lpstr>
      <vt:lpstr>Resumen</vt:lpstr>
      <vt:lpstr>Inventario General</vt:lpstr>
      <vt:lpstr>Ficha Individual</vt:lpstr>
      <vt:lpstr>Equipos de Cómputo</vt:lpstr>
      <vt:lpstr>Servidores</vt:lpstr>
      <vt:lpstr>Red y Comunicaciones</vt:lpstr>
      <vt:lpstr>Periféricos</vt:lpstr>
      <vt:lpstr>Software y Licencias</vt:lpstr>
      <vt:lpstr>Mantenimiento</vt:lpstr>
      <vt:lpstr>Asignaciones</vt:lpstr>
      <vt:lpstr>Listas</vt:lpstr>
      <vt:lpstr>Asignaciones!Títulos_a_imprimir</vt:lpstr>
      <vt:lpstr>'Equipos de Cómputo'!Títulos_a_imprimir</vt:lpstr>
      <vt:lpstr>'Inventario General'!Títulos_a_imprimir</vt:lpstr>
      <vt:lpstr>Mantenimiento!Títulos_a_imprimir</vt:lpstr>
      <vt:lpstr>Periféricos!Títulos_a_imprimir</vt:lpstr>
      <vt:lpstr>'Red y Comunicaciones'!Títulos_a_imprimir</vt:lpstr>
      <vt:lpstr>Servidores!Títulos_a_imprimir</vt:lpstr>
      <vt:lpstr>'Software y Licencias'!Títulos_a_imprimir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Cristian Pozo</cp:lastModifiedBy>
  <cp:revision>1</cp:revision>
  <dcterms:created xsi:type="dcterms:W3CDTF">2026-10-01T21:51:51Z</dcterms:created>
  <dcterms:modified xsi:type="dcterms:W3CDTF">2026-10-21T13:57:08Z</dcterms:modified>
  <dc:language>en-US</dc:language>
</cp:coreProperties>
</file>